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information" sheetId="1" r:id="rId4"/>
    <sheet state="visible" name="Tailor Sheet" sheetId="2" r:id="rId5"/>
    <sheet state="visible" name="Statistics" sheetId="3" r:id="rId6"/>
    <sheet state="visible" name="Chart1 Monthly Total Revenue (B" sheetId="4" r:id="rId7"/>
    <sheet state="visible" name="Sheet4" sheetId="5" r:id="rId8"/>
    <sheet state="visible" name="Sheet5" sheetId="6" r:id="rId9"/>
  </sheets>
  <definedNames/>
  <calcPr/>
</workbook>
</file>

<file path=xl/sharedStrings.xml><?xml version="1.0" encoding="utf-8"?>
<sst xmlns="http://schemas.openxmlformats.org/spreadsheetml/2006/main" count="445" uniqueCount="201">
  <si>
    <t>Form No.</t>
  </si>
  <si>
    <t>Customer Name</t>
  </si>
  <si>
    <t>Contact No.</t>
  </si>
  <si>
    <t>Gender</t>
  </si>
  <si>
    <t>Dress Type</t>
  </si>
  <si>
    <t>Order Type</t>
  </si>
  <si>
    <t>Booking Date</t>
  </si>
  <si>
    <t>Delivery Date</t>
  </si>
  <si>
    <t>Total Amount</t>
  </si>
  <si>
    <t>Advance Paid</t>
  </si>
  <si>
    <t>Amount Due</t>
  </si>
  <si>
    <t>Notes</t>
  </si>
  <si>
    <t>Month</t>
  </si>
  <si>
    <t>2025/001</t>
  </si>
  <si>
    <t>Chanu Jain</t>
  </si>
  <si>
    <t>Female</t>
  </si>
  <si>
    <t>Gown (Sinner Lycra Fabric)</t>
  </si>
  <si>
    <t>Sell</t>
  </si>
  <si>
    <t>Stretchable Lycra, Skirt + Flowy</t>
  </si>
  <si>
    <t>2025/002</t>
  </si>
  <si>
    <t>Ankita barorer</t>
  </si>
  <si>
    <t>onepiece</t>
  </si>
  <si>
    <t>farwell ocasion</t>
  </si>
  <si>
    <t>2025/003</t>
  </si>
  <si>
    <t>Shilp</t>
  </si>
  <si>
    <t>Serews</t>
  </si>
  <si>
    <t>Birthday</t>
  </si>
  <si>
    <t>2025/004</t>
  </si>
  <si>
    <t>Kirti malpani</t>
  </si>
  <si>
    <t>lehanga top</t>
  </si>
  <si>
    <t>navratri design</t>
  </si>
  <si>
    <t>2025/005</t>
  </si>
  <si>
    <t>Ritu</t>
  </si>
  <si>
    <t>Lehanga top</t>
  </si>
  <si>
    <t>Rent</t>
  </si>
  <si>
    <t>Shadi</t>
  </si>
  <si>
    <t>2025/006</t>
  </si>
  <si>
    <t>Richa</t>
  </si>
  <si>
    <t>Kurta</t>
  </si>
  <si>
    <t>2025/007</t>
  </si>
  <si>
    <t>Diksha</t>
  </si>
  <si>
    <t>Gown</t>
  </si>
  <si>
    <t>2025/008</t>
  </si>
  <si>
    <t>Pooja</t>
  </si>
  <si>
    <t>Lehanga</t>
  </si>
  <si>
    <t>diwali design</t>
  </si>
  <si>
    <t>2025/009</t>
  </si>
  <si>
    <t>Manisha</t>
  </si>
  <si>
    <t>2025/010</t>
  </si>
  <si>
    <t>Kajol meghwanshi</t>
  </si>
  <si>
    <t>31/09/2025</t>
  </si>
  <si>
    <t>2025/011</t>
  </si>
  <si>
    <t>Bhawana</t>
  </si>
  <si>
    <t>2025/012</t>
  </si>
  <si>
    <t>Widhi sawiyani</t>
  </si>
  <si>
    <t>Top</t>
  </si>
  <si>
    <t>casual</t>
  </si>
  <si>
    <t>2025/013</t>
  </si>
  <si>
    <t>Shubhangi</t>
  </si>
  <si>
    <t>2025/014</t>
  </si>
  <si>
    <t>Vandana</t>
  </si>
  <si>
    <t>2025/015</t>
  </si>
  <si>
    <t>Rose</t>
  </si>
  <si>
    <t>2025/016</t>
  </si>
  <si>
    <t>Chavi Jain</t>
  </si>
  <si>
    <t>2025/017</t>
  </si>
  <si>
    <t>Manda</t>
  </si>
  <si>
    <t>--</t>
  </si>
  <si>
    <t>Male</t>
  </si>
  <si>
    <t>Pant</t>
  </si>
  <si>
    <t>2025/018</t>
  </si>
  <si>
    <t>Rinku</t>
  </si>
  <si>
    <t>2025/019</t>
  </si>
  <si>
    <t>Sanya</t>
  </si>
  <si>
    <t>2025/020</t>
  </si>
  <si>
    <t>Lekha</t>
  </si>
  <si>
    <t>Shirt</t>
  </si>
  <si>
    <t>2025/021</t>
  </si>
  <si>
    <t>Bhavisha(Ritu)</t>
  </si>
  <si>
    <t>2025/022</t>
  </si>
  <si>
    <t>Anehal kumari</t>
  </si>
  <si>
    <t xml:space="preserve">diwali design </t>
  </si>
  <si>
    <t>2025/023</t>
  </si>
  <si>
    <t>Harshita</t>
  </si>
  <si>
    <t>2025/024</t>
  </si>
  <si>
    <t xml:space="preserve">Nikita </t>
  </si>
  <si>
    <t>2025/025</t>
  </si>
  <si>
    <t>Kavita</t>
  </si>
  <si>
    <t>chinon dupata</t>
  </si>
  <si>
    <t>2025/026</t>
  </si>
  <si>
    <t>Pari</t>
  </si>
  <si>
    <t>2025/027</t>
  </si>
  <si>
    <t>khushi</t>
  </si>
  <si>
    <t>green lehanga</t>
  </si>
  <si>
    <t>2025/028</t>
  </si>
  <si>
    <t>Komal</t>
  </si>
  <si>
    <t>2025/029</t>
  </si>
  <si>
    <t xml:space="preserve">Sonia </t>
  </si>
  <si>
    <t>shadi</t>
  </si>
  <si>
    <t>2025/030</t>
  </si>
  <si>
    <t xml:space="preserve">Priyanka </t>
  </si>
  <si>
    <t>2025/031</t>
  </si>
  <si>
    <t xml:space="preserve">Kajol </t>
  </si>
  <si>
    <t>birthday</t>
  </si>
  <si>
    <t>2025/032</t>
  </si>
  <si>
    <t>pankhuri</t>
  </si>
  <si>
    <t>2025/033</t>
  </si>
  <si>
    <t>Kajol</t>
  </si>
  <si>
    <t>2025/034</t>
  </si>
  <si>
    <t>Simran</t>
  </si>
  <si>
    <t>anchoring</t>
  </si>
  <si>
    <t>2025/035</t>
  </si>
  <si>
    <t>Sanjana</t>
  </si>
  <si>
    <t>2025/036</t>
  </si>
  <si>
    <t>Jaya</t>
  </si>
  <si>
    <t>No. of Orders</t>
  </si>
  <si>
    <t>Total Revenue</t>
  </si>
  <si>
    <t xml:space="preserve">No. of Days of Operation </t>
  </si>
  <si>
    <t xml:space="preserve">Avg. Revenue/Day </t>
  </si>
  <si>
    <t>TOTAL</t>
  </si>
  <si>
    <t>Bust</t>
  </si>
  <si>
    <t>Waist</t>
  </si>
  <si>
    <t>Hip</t>
  </si>
  <si>
    <t>Shoulder</t>
  </si>
  <si>
    <t>Waist Length</t>
  </si>
  <si>
    <t>Round Arm</t>
  </si>
  <si>
    <t>L Waist</t>
  </si>
  <si>
    <t>Sleeve Length</t>
  </si>
  <si>
    <t>Skirt Length</t>
  </si>
  <si>
    <t>Pant Length</t>
  </si>
  <si>
    <t>Lehenga Length</t>
  </si>
  <si>
    <t>Round Bottom</t>
  </si>
  <si>
    <t>Round Leg</t>
  </si>
  <si>
    <t>Round Waist</t>
  </si>
  <si>
    <t>27-28</t>
  </si>
  <si>
    <t>29-30</t>
  </si>
  <si>
    <t>2025/037</t>
  </si>
  <si>
    <t>2025/038</t>
  </si>
  <si>
    <t>2025/039</t>
  </si>
  <si>
    <t>2025/040</t>
  </si>
  <si>
    <t>2025/041</t>
  </si>
  <si>
    <t>2025/042</t>
  </si>
  <si>
    <t>2025/043</t>
  </si>
  <si>
    <t>2025/044</t>
  </si>
  <si>
    <t>2025/045</t>
  </si>
  <si>
    <t>2025/046</t>
  </si>
  <si>
    <t>2025/047</t>
  </si>
  <si>
    <t>2025/048</t>
  </si>
  <si>
    <t>2025/049</t>
  </si>
  <si>
    <t>Metric / Field</t>
  </si>
  <si>
    <t>Count</t>
  </si>
  <si>
    <t>Mean</t>
  </si>
  <si>
    <t>Median</t>
  </si>
  <si>
    <t>Mode</t>
  </si>
  <si>
    <t>Standard Deviation</t>
  </si>
  <si>
    <t>Min</t>
  </si>
  <si>
    <t>Max</t>
  </si>
  <si>
    <t>Total Amount (₹)</t>
  </si>
  <si>
    <t>Advance Paid (₹)</t>
  </si>
  <si>
    <t>Amount Due (₹)</t>
  </si>
  <si>
    <t>Low Spread</t>
  </si>
  <si>
    <t>Low</t>
  </si>
  <si>
    <t xml:space="preserve">Turnaround Time  </t>
  </si>
  <si>
    <t>4–14 days</t>
  </si>
  <si>
    <t>7 days</t>
  </si>
  <si>
    <t>Moderate</t>
  </si>
  <si>
    <r>
      <rPr>
        <rFont val="Arial"/>
        <color theme="1"/>
      </rPr>
      <t>Based on the customer and order information, here is an analysis of the key trends and insights from your data.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</t>
    </r>
    <r>
      <rPr>
        <rFont val="Arial"/>
        <color theme="1"/>
      </rPr>
      <t xml:space="preserve">The data shows a strong upward trend in business activity and a clear focus on </t>
    </r>
    <r>
      <rPr>
        <rFont val="Arial"/>
        <b/>
        <color theme="1"/>
      </rPr>
      <t>'Sell' orders</t>
    </r>
    <r>
      <rPr>
        <rFont val="Arial"/>
        <color theme="1"/>
      </rPr>
      <t xml:space="preserve"> for specific types of clothing, with </t>
    </r>
    <r>
      <rPr>
        <rFont val="Arial"/>
        <b/>
        <color theme="1"/>
      </rPr>
      <t>substantial outstanding payments</t>
    </r>
    <r>
      <rPr>
        <rFont val="Arial"/>
        <color theme="1"/>
      </rPr>
      <t xml:space="preserve"> that may need attention.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1. Significant and Accelerating Revenue Growth</t>
    </r>
    <r>
      <rPr>
        <rFont val="Arial"/>
        <color theme="1"/>
      </rPr>
      <t xml:space="preserve">
</t>
    </r>
    <r>
      <rPr>
        <rFont val="Arial"/>
        <color theme="1"/>
      </rPr>
      <t>The business has shown remarkable growth in total revenue from June to October 2025, indicating strong market acceptance and increasing customer traffic.</t>
    </r>
    <r>
      <rPr>
        <rFont val="Arial"/>
        <color theme="1"/>
      </rPr>
      <t xml:space="preserve">
• </t>
    </r>
    <r>
      <rPr>
        <rFont val="Arial"/>
        <b/>
        <color theme="1"/>
      </rPr>
      <t>Sharp Increase:</t>
    </r>
    <r>
      <rPr>
        <rFont val="Arial"/>
        <color theme="1"/>
      </rPr>
      <t xml:space="preserve"> Total monthly revenue grew from </t>
    </r>
    <r>
      <rPr>
        <rFont val="Arial"/>
        <b/>
        <color theme="1"/>
      </rPr>
      <t>4,500</t>
    </r>
    <r>
      <rPr>
        <rFont val="Arial"/>
        <color theme="1"/>
      </rPr>
      <t xml:space="preserve"> in June to </t>
    </r>
    <r>
      <rPr>
        <rFont val="Arial"/>
        <b/>
        <color theme="1"/>
      </rPr>
      <t>27,250</t>
    </r>
    <r>
      <rPr>
        <rFont val="Arial"/>
        <color theme="1"/>
      </rPr>
      <t xml:space="preserve"> in October 2025, showing a substantial positive trend over the five-month period.</t>
    </r>
    <r>
      <rPr>
        <rFont val="Arial"/>
        <color theme="1"/>
      </rPr>
      <t xml:space="preserve">
• </t>
    </r>
    <r>
      <rPr>
        <rFont val="Arial"/>
        <b/>
        <color theme="1"/>
      </rPr>
      <t>Total Financials:</t>
    </r>
    <r>
      <rPr>
        <rFont val="Arial"/>
        <color theme="1"/>
      </rPr>
      <t xml:space="preserve"> Across all orders, the total revenue is </t>
    </r>
    <r>
      <rPr>
        <rFont val="Arial"/>
        <b/>
        <color theme="1"/>
      </rPr>
      <t>64,265</t>
    </r>
    <r>
      <rPr>
        <rFont val="Arial"/>
        <color theme="1"/>
      </rPr>
      <t xml:space="preserve">, with </t>
    </r>
    <r>
      <rPr>
        <rFont val="Arial"/>
        <b/>
        <color theme="1"/>
      </rPr>
      <t>36,400</t>
    </r>
    <r>
      <rPr>
        <rFont val="Arial"/>
        <color theme="1"/>
      </rPr>
      <t xml:space="preserve"> paid as advance and </t>
    </r>
    <r>
      <rPr>
        <rFont val="Arial"/>
        <b/>
        <color theme="1"/>
      </rPr>
      <t>27,865</t>
    </r>
    <r>
      <rPr>
        <rFont val="Arial"/>
        <color theme="1"/>
      </rPr>
      <t xml:space="preserve"> remaining as the total amount due.</t>
    </r>
    <r>
      <rPr>
        <rFont val="Arial"/>
        <color theme="1"/>
      </rPr>
      <t xml:space="preserve">
• </t>
    </r>
    <r>
      <rPr>
        <rFont val="Arial"/>
        <b/>
        <color theme="1"/>
      </rPr>
      <t>Average Order Value:</t>
    </r>
    <r>
      <rPr>
        <rFont val="Arial"/>
        <color theme="1"/>
      </rPr>
      <t xml:space="preserve"> The average total order value is </t>
    </r>
    <r>
      <rPr>
        <rFont val="Arial"/>
        <b/>
        <color theme="1"/>
      </rPr>
      <t>1,785.14</t>
    </r>
    <r>
      <rPr>
        <rFont val="Arial"/>
        <color theme="1"/>
      </rPr>
      <t>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2. High Concentration in 'Sell' Orders and Specific Dress Types</t>
    </r>
    <r>
      <rPr>
        <rFont val="Arial"/>
        <color theme="1"/>
      </rPr>
      <t xml:space="preserve">
</t>
    </r>
    <r>
      <rPr>
        <rFont val="Arial"/>
        <color theme="1"/>
      </rPr>
      <t>The business model is heavily weighted toward selling garments rather than renting, and revenue is driven by a few key product categories.</t>
    </r>
    <r>
      <rPr>
        <rFont val="Arial"/>
        <color theme="1"/>
      </rPr>
      <t xml:space="preserve">
• </t>
    </r>
    <r>
      <rPr>
        <rFont val="Arial"/>
        <b/>
        <color theme="1"/>
      </rPr>
      <t>Dominant Order Type:</t>
    </r>
    <r>
      <rPr>
        <rFont val="Arial"/>
        <color theme="1"/>
      </rPr>
      <t xml:space="preserve"> </t>
    </r>
    <r>
      <rPr>
        <rFont val="Arial"/>
        <b/>
        <color theme="1"/>
      </rPr>
      <t>'Sell' orders</t>
    </r>
    <r>
      <rPr>
        <rFont val="Arial"/>
        <color theme="1"/>
      </rPr>
      <t xml:space="preserve"> account for nearly </t>
    </r>
    <r>
      <rPr>
        <rFont val="Arial"/>
        <b/>
        <color theme="1"/>
      </rPr>
      <t>89%</t>
    </r>
    <r>
      <rPr>
        <rFont val="Arial"/>
        <color theme="1"/>
      </rPr>
      <t xml:space="preserve"> of all transactions (32 orders), while 'Rent' accounts for only </t>
    </r>
    <r>
      <rPr>
        <rFont val="Arial"/>
        <b/>
        <color theme="1"/>
      </rPr>
      <t>11%</t>
    </r>
    <r>
      <rPr>
        <rFont val="Arial"/>
        <color theme="1"/>
      </rPr>
      <t xml:space="preserve"> (4 orders). This suggests that the primary focus should be on optimizing the selling process and inventory.</t>
    </r>
    <r>
      <rPr>
        <rFont val="Arial"/>
        <color theme="1"/>
      </rPr>
      <t xml:space="preserve">
• </t>
    </r>
    <r>
      <rPr>
        <rFont val="Arial"/>
        <b/>
        <color theme="1"/>
      </rPr>
      <t>Top Products:</t>
    </r>
    <r>
      <rPr>
        <rFont val="Arial"/>
        <color theme="1"/>
      </rPr>
      <t xml:space="preserve"> The most popular items are </t>
    </r>
    <r>
      <rPr>
        <rFont val="Arial"/>
        <b/>
        <color theme="1"/>
      </rPr>
      <t>kurta</t>
    </r>
    <r>
      <rPr>
        <rFont val="Arial"/>
        <color theme="1"/>
      </rPr>
      <t xml:space="preserve"> (11 orders), </t>
    </r>
    <r>
      <rPr>
        <rFont val="Arial"/>
        <b/>
        <color theme="1"/>
      </rPr>
      <t>gown</t>
    </r>
    <r>
      <rPr>
        <rFont val="Arial"/>
        <color theme="1"/>
      </rPr>
      <t xml:space="preserve"> (8 orders), and </t>
    </r>
    <r>
      <rPr>
        <rFont val="Arial"/>
        <b/>
        <color theme="1"/>
      </rPr>
      <t>lehanga</t>
    </r>
    <r>
      <rPr>
        <rFont val="Arial"/>
        <color theme="1"/>
      </rPr>
      <t xml:space="preserve"> (8 orders), which together comprise a majority of the sales volume.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3. Focus on Managing Outstanding Payments</t>
    </r>
    <r>
      <rPr>
        <rFont val="Arial"/>
        <color theme="1"/>
      </rPr>
      <t xml:space="preserve">
</t>
    </r>
    <r>
      <rPr>
        <rFont val="Arial"/>
        <color theme="1"/>
      </rPr>
      <t>The total outstanding balance represents a considerable portion of the business's potential cash flow, highlighting a need for a robust follow-up system.</t>
    </r>
    <r>
      <rPr>
        <rFont val="Arial"/>
        <color theme="1"/>
      </rPr>
      <t xml:space="preserve">
• </t>
    </r>
    <r>
      <rPr>
        <rFont val="Arial"/>
        <b/>
        <color theme="1"/>
      </rPr>
      <t>Amount Due:</t>
    </r>
    <r>
      <rPr>
        <rFont val="Arial"/>
        <color theme="1"/>
      </rPr>
      <t xml:space="preserve"> The total outstanding amount across all orders is </t>
    </r>
    <r>
      <rPr>
        <rFont val="Arial"/>
        <b/>
        <color theme="1"/>
      </rPr>
      <t>27,865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Cash Flow Opportunity:</t>
    </r>
    <r>
      <rPr>
        <rFont val="Arial"/>
        <color theme="1"/>
      </rPr>
      <t xml:space="preserve"> Collecting the total amount due could increase the business's cash reserves by approximately </t>
    </r>
    <r>
      <rPr>
        <rFont val="Arial"/>
        <b/>
        <color theme="1"/>
      </rPr>
      <t>76.5%</t>
    </r>
    <r>
      <rPr>
        <rFont val="Arial"/>
        <color theme="1"/>
      </rPr>
      <t xml:space="preserve"> of the total advance payments received (</t>
    </r>
    <r>
      <rPr>
        <rFont val="Arial"/>
        <b/>
        <color theme="1"/>
      </rPr>
      <t>27,865</t>
    </r>
    <r>
      <rPr>
        <rFont val="Arial"/>
        <color theme="1"/>
      </rPr>
      <t xml:space="preserve"> due vs. </t>
    </r>
    <r>
      <rPr>
        <rFont val="Arial"/>
        <b/>
        <color theme="1"/>
      </rPr>
      <t>36,400</t>
    </r>
    <r>
      <rPr>
        <rFont val="Arial"/>
        <color theme="1"/>
      </rPr>
      <t xml:space="preserve"> advance paid).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Monthly Total Revenue Trend</t>
    </r>
    <r>
      <rPr>
        <rFont val="Arial"/>
        <color theme="1"/>
      </rPr>
      <t xml:space="preserve">
</t>
    </r>
    <r>
      <rPr>
        <rFont val="Arial"/>
        <color theme="1"/>
      </rPr>
      <t>The chart below visualizes the strong upward trend in total revenue from June to October 2025.</t>
    </r>
    <r>
      <rPr>
        <rFont val="Arial"/>
        <color theme="1"/>
      </rPr>
      <t xml:space="preserve">
</t>
    </r>
    <r>
      <rPr>
        <rFont val="Arial"/>
        <b/>
        <color theme="1"/>
      </rPr>
      <t>Monthly Total Revenue (Booking Date)</t>
    </r>
    <r>
      <rPr>
        <rFont val="Arial"/>
        <color theme="1"/>
      </rPr>
      <t xml:space="preserve">
</t>
    </r>
    <r>
      <rPr>
        <rFont val="Arial"/>
        <color theme="1"/>
      </rPr>
      <t>The line chart shows a clear, consistent increase in total revenue month-over-month. (See chart: monthly_total_revenue_chart.json)</t>
    </r>
  </si>
  <si>
    <t>Booking Date Month Start</t>
  </si>
  <si>
    <t>Product Category</t>
  </si>
  <si>
    <t>Order Count</t>
  </si>
  <si>
    <t>Inventory Strategy Implication</t>
  </si>
  <si>
    <t>Highest-Value, **Make-to-Stock/Order** for High-Demand Designs</t>
  </si>
  <si>
    <t>Lehenga</t>
  </si>
  <si>
    <t>High Volume/Value, Focus on **Diversifying Designs**</t>
  </si>
  <si>
    <t>Highest Volume, **High-Priority Stocking**</t>
  </si>
  <si>
    <t>Lehenga Top</t>
  </si>
  <si>
    <t>Lower Volume, Monitor as **Potential Upsell Component**</t>
  </si>
  <si>
    <t>Total Orders</t>
  </si>
  <si>
    <t>Avg. Order Value</t>
  </si>
  <si>
    <t>Financial Strategy Implication</t>
  </si>
  <si>
    <t>Main Focus. **Requires robust materials/component inventory.**</t>
  </si>
  <si>
    <t>Niche. **Requires separate maintenance/cleaning/storage processes.**</t>
  </si>
  <si>
    <t>Standard Dress Type</t>
  </si>
  <si>
    <t>Average Lead Time (Days)</t>
  </si>
  <si>
    <t>Range (Min - Max Days)</t>
  </si>
  <si>
    <t>Inventory &amp; Sales Implication</t>
  </si>
  <si>
    <t>2 - 10</t>
  </si>
  <si>
    <t>Highest average Lead Time: **Requires larger stock or earlier customer communication.**</t>
  </si>
  <si>
    <t>2 - 16</t>
  </si>
  <si>
    <t>Highest Max Lead Time: **High risk of customer dissatisfaction; needs process review.**</t>
  </si>
  <si>
    <t>-2 - 5</t>
  </si>
  <si>
    <t>Can be fulfilled fastest: **Good candidates for "Ready-to-Wear" stock.**</t>
  </si>
  <si>
    <t>Month (2025)</t>
  </si>
  <si>
    <t>Total Revenue (₹)</t>
  </si>
  <si>
    <t>Monthly Growth Rate (%)</t>
  </si>
  <si>
    <t>"N/A"</t>
  </si>
  <si>
    <t>"33.33"</t>
  </si>
  <si>
    <t>"12.58"</t>
  </si>
  <si>
    <t>"177.74"</t>
  </si>
  <si>
    <t>"45.26"</t>
  </si>
  <si>
    <t>Monthly Revenue Pattern: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</si>
</sst>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"/>
    <numFmt numFmtId="165" formatCode="dd/mm/yyyy"/>
    <numFmt numFmtId="166" formatCode="d/m/yyyy"/>
    <numFmt numFmtId="167" formatCode="mmmm yyyy"/>
    <numFmt numFmtId="168" formatCode="dd/MM/yyyy"/>
    <numFmt numFmtId="169" formatCode="yyyy-mm"/>
    <numFmt numFmtId="170" formatCode="yyyy-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BerkeleyMono"/>
    </font>
    <font>
      <b/>
      <color theme="1"/>
      <name val="Arial"/>
    </font>
    <font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sz val="11.0"/>
      <color rgb="FF000000"/>
      <name val="BerkeleyMono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Font="1"/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/>
    </xf>
    <xf borderId="0" fillId="3" fontId="2" numFmtId="0" xfId="0" applyFill="1" applyFont="1"/>
    <xf borderId="1" fillId="0" fontId="3" numFmtId="167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4" fontId="6" numFmtId="0" xfId="0" applyAlignment="1" applyFill="1" applyFont="1">
      <alignment horizontal="center" readingOrder="0"/>
    </xf>
    <xf borderId="0" fillId="4" fontId="7" numFmtId="0" xfId="0" applyAlignment="1" applyFont="1">
      <alignment readingOrder="0"/>
    </xf>
    <xf borderId="0" fillId="4" fontId="7" numFmtId="0" xfId="0" applyFont="1"/>
    <xf borderId="0" fillId="4" fontId="6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5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68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9" xfId="0" applyAlignment="1" applyFont="1" applyNumberFormat="1">
      <alignment horizontal="center" readingOrder="0"/>
    </xf>
    <xf borderId="0" fillId="0" fontId="2" numFmtId="170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count="4" pivot="0" name="Chart1 Monthly Total Revenue (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Monthly Total Revenue (B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No. of Orders and Total Revenue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'Customer information'!$B$51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'Customer information'!$A$52:$A$56</c:f>
            </c:strRef>
          </c:cat>
          <c:val>
            <c:numRef>
              <c:f>'Customer information'!$B$52:$B$56</c:f>
              <c:numCache/>
            </c:numRef>
          </c:val>
          <c:smooth val="1"/>
        </c:ser>
        <c:ser>
          <c:idx val="1"/>
          <c:order val="1"/>
          <c:tx>
            <c:strRef>
              <c:f>'Customer information'!$C$51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'Customer information'!$A$52:$A$56</c:f>
            </c:strRef>
          </c:cat>
          <c:val>
            <c:numRef>
              <c:f>'Customer information'!$C$52:$C$56</c:f>
              <c:numCache/>
            </c:numRef>
          </c:val>
          <c:smooth val="1"/>
        </c:ser>
        <c:axId val="919991022"/>
        <c:axId val="1248266915"/>
      </c:lineChart>
      <c:catAx>
        <c:axId val="919991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266915"/>
      </c:catAx>
      <c:valAx>
        <c:axId val="1248266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991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Total Revenue (Booking Date)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'Chart1 Monthly Total Revenue (B'!$A$3:$A$8</c:f>
            </c:strRef>
          </c:cat>
          <c:val>
            <c:numRef>
              <c:f>'Chart1 Monthly Total Revenue (B'!$B$3:$B$8</c:f>
              <c:numCache/>
            </c:numRef>
          </c:val>
          <c:smooth val="0"/>
        </c:ser>
        <c:axId val="969746423"/>
        <c:axId val="48025160"/>
      </c:lineChart>
      <c:catAx>
        <c:axId val="969746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Booking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25160"/>
      </c:catAx>
      <c:valAx>
        <c:axId val="48025160"/>
        <c:scaling>
          <c:orientation val="minMax"/>
          <c:max val="29439.5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746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41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0</xdr:row>
      <xdr:rowOff>12220575</xdr:rowOff>
    </xdr:from>
    <xdr:ext cx="4762500" cy="31813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361950</xdr:colOff>
      <xdr:row>0</xdr:row>
      <xdr:rowOff>-19050</xdr:rowOff>
    </xdr:from>
    <xdr:ext cx="5229225" cy="92868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</xdr:row>
      <xdr:rowOff>123825</xdr:rowOff>
    </xdr:from>
    <xdr:ext cx="5715000" cy="3533775"/>
    <xdr:pic>
      <xdr:nvPicPr>
        <xdr:cNvPr id="14596828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5</xdr:row>
      <xdr:rowOff>123825</xdr:rowOff>
    </xdr:from>
    <xdr:ext cx="5715000" cy="3533775"/>
    <xdr:pic>
      <xdr:nvPicPr>
        <xdr:cNvPr id="211186521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67425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B8" displayName="Monthly_Total_Revenue_Booking_Date_" name="Monthly_Total_Revenue_Booking_Date_" id="1">
  <tableColumns count="2">
    <tableColumn name="Booking Date Month Start" id="1"/>
    <tableColumn name="Total Amount" id="2"/>
  </tableColumns>
  <tableStyleInfo name="Chart1 Monthly Total Revenue (B-style" showColumnStripes="0" showFirstColumn="1" showLastColumn="1" showRowStripes="1"/>
</table>
</file>

<file path=xl/tables/table2.xml><?xml version="1.0" encoding="utf-8"?>
<table xmlns="http://schemas.openxmlformats.org/spreadsheetml/2006/main" ref="D4:G8" displayName="Table1" name="Table1" id="2">
  <tableColumns count="4">
    <tableColumn name="Product Category" id="1"/>
    <tableColumn name="Order Count" id="2"/>
    <tableColumn name="Total Revenue" id="3"/>
    <tableColumn name="Inventory Strategy Implication" id="4"/>
  </tableColumns>
  <tableStyleInfo name="Chart1 Monthly Total Revenue (B-style 2" showColumnStripes="0" showFirstColumn="1" showLastColumn="1" showRowStripes="1"/>
</table>
</file>

<file path=xl/tables/table3.xml><?xml version="1.0" encoding="utf-8"?>
<table xmlns="http://schemas.openxmlformats.org/spreadsheetml/2006/main" ref="A1:D3" displayName="Table3" name="Table3" id="3">
  <tableColumns count="4">
    <tableColumn name="Order Type" id="1"/>
    <tableColumn name="Total Orders" id="2"/>
    <tableColumn name="Avg. Order Value" id="3"/>
    <tableColumn name="Financial Strategy Implication" id="4"/>
  </tableColumns>
  <tableStyleInfo name="Sheet4-style" showColumnStripes="0" showFirstColumn="1" showLastColumn="1" showRowStripes="1"/>
</table>
</file>

<file path=xl/tables/table4.xml><?xml version="1.0" encoding="utf-8"?>
<table xmlns="http://schemas.openxmlformats.org/spreadsheetml/2006/main" ref="D4:G7" displayName="Table2" name="Table2" id="4">
  <tableColumns count="4">
    <tableColumn name="Standard Dress Type" id="1"/>
    <tableColumn name="Average Lead Time (Days)" id="2"/>
    <tableColumn name="Range (Min - Max Days)" id="3"/>
    <tableColumn name="Inventory &amp; Sales Implication" id="4"/>
  </tableColumns>
  <tableStyleInfo name="Sheet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9.75"/>
    <col customWidth="1" min="5" max="5" width="25.75"/>
    <col customWidth="1" min="12" max="12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4">
        <v>8.050016045E9</v>
      </c>
      <c r="D2" s="3" t="s">
        <v>15</v>
      </c>
      <c r="E2" s="3" t="s">
        <v>16</v>
      </c>
      <c r="F2" s="3" t="s">
        <v>17</v>
      </c>
      <c r="G2" s="5">
        <v>45908.0</v>
      </c>
      <c r="H2" s="6">
        <v>45911.0</v>
      </c>
      <c r="I2" s="3">
        <v>1710.0</v>
      </c>
      <c r="J2" s="3">
        <v>750.0</v>
      </c>
      <c r="K2" s="3">
        <f t="shared" ref="K2:K16" si="1"> I2 - J2</f>
        <v>960</v>
      </c>
      <c r="L2" s="3" t="s">
        <v>18</v>
      </c>
      <c r="M2" s="7" t="str">
        <f t="shared" ref="M2:M37" si="2">TEXT(G2,"YYYY-MM")</f>
        <v>2025-09</v>
      </c>
    </row>
    <row r="3">
      <c r="A3" s="3" t="s">
        <v>19</v>
      </c>
      <c r="B3" s="3" t="s">
        <v>20</v>
      </c>
      <c r="C3" s="4">
        <v>9.799223089E9</v>
      </c>
      <c r="D3" s="3" t="s">
        <v>15</v>
      </c>
      <c r="E3" s="3" t="s">
        <v>21</v>
      </c>
      <c r="F3" s="3" t="s">
        <v>17</v>
      </c>
      <c r="G3" s="6">
        <v>45870.0</v>
      </c>
      <c r="H3" s="6">
        <v>45875.0</v>
      </c>
      <c r="I3" s="3">
        <v>2555.0</v>
      </c>
      <c r="J3" s="3">
        <v>1900.0</v>
      </c>
      <c r="K3" s="3">
        <f t="shared" si="1"/>
        <v>655</v>
      </c>
      <c r="L3" s="3" t="s">
        <v>22</v>
      </c>
      <c r="M3" s="7" t="str">
        <f t="shared" si="2"/>
        <v>2025-08</v>
      </c>
    </row>
    <row r="4">
      <c r="A4" s="3" t="s">
        <v>23</v>
      </c>
      <c r="B4" s="3" t="s">
        <v>24</v>
      </c>
      <c r="C4" s="4">
        <v>7.728087298E9</v>
      </c>
      <c r="D4" s="3" t="s">
        <v>15</v>
      </c>
      <c r="E4" s="3" t="s">
        <v>25</v>
      </c>
      <c r="F4" s="3" t="s">
        <v>17</v>
      </c>
      <c r="G4" s="8">
        <v>45948.0</v>
      </c>
      <c r="H4" s="8">
        <v>45954.0</v>
      </c>
      <c r="I4" s="3">
        <v>1600.0</v>
      </c>
      <c r="J4" s="3">
        <v>1000.0</v>
      </c>
      <c r="K4" s="3">
        <f t="shared" si="1"/>
        <v>600</v>
      </c>
      <c r="L4" s="3" t="s">
        <v>26</v>
      </c>
      <c r="M4" s="7" t="str">
        <f t="shared" si="2"/>
        <v>2025-10</v>
      </c>
    </row>
    <row r="5">
      <c r="A5" s="3" t="s">
        <v>27</v>
      </c>
      <c r="B5" s="3" t="s">
        <v>28</v>
      </c>
      <c r="C5" s="4">
        <v>9.680731821E9</v>
      </c>
      <c r="D5" s="3" t="s">
        <v>15</v>
      </c>
      <c r="E5" s="3" t="s">
        <v>29</v>
      </c>
      <c r="F5" s="3" t="s">
        <v>17</v>
      </c>
      <c r="G5" s="6">
        <v>45920.0</v>
      </c>
      <c r="H5" s="6">
        <v>45925.0</v>
      </c>
      <c r="I5" s="3">
        <v>2500.0</v>
      </c>
      <c r="J5" s="3">
        <v>1200.0</v>
      </c>
      <c r="K5" s="3">
        <f t="shared" si="1"/>
        <v>1300</v>
      </c>
      <c r="L5" s="3" t="s">
        <v>30</v>
      </c>
      <c r="M5" s="7" t="str">
        <f t="shared" si="2"/>
        <v>2025-09</v>
      </c>
    </row>
    <row r="6">
      <c r="A6" s="3" t="s">
        <v>31</v>
      </c>
      <c r="B6" s="3" t="s">
        <v>32</v>
      </c>
      <c r="C6" s="4">
        <v>7.976124034E9</v>
      </c>
      <c r="D6" s="3" t="s">
        <v>15</v>
      </c>
      <c r="E6" s="3" t="s">
        <v>33</v>
      </c>
      <c r="F6" s="3" t="s">
        <v>34</v>
      </c>
      <c r="G6" s="6">
        <v>45911.0</v>
      </c>
      <c r="H6" s="6">
        <v>45911.0</v>
      </c>
      <c r="I6" s="3">
        <v>1000.0</v>
      </c>
      <c r="J6" s="3">
        <v>500.0</v>
      </c>
      <c r="K6" s="3">
        <f t="shared" si="1"/>
        <v>500</v>
      </c>
      <c r="L6" s="3" t="s">
        <v>35</v>
      </c>
      <c r="M6" s="7" t="str">
        <f t="shared" si="2"/>
        <v>2025-09</v>
      </c>
    </row>
    <row r="7">
      <c r="A7" s="3" t="s">
        <v>36</v>
      </c>
      <c r="B7" s="3" t="s">
        <v>37</v>
      </c>
      <c r="C7" s="4">
        <v>9.414610876E9</v>
      </c>
      <c r="D7" s="3" t="s">
        <v>15</v>
      </c>
      <c r="E7" s="3" t="s">
        <v>38</v>
      </c>
      <c r="F7" s="3" t="s">
        <v>17</v>
      </c>
      <c r="G7" s="8">
        <v>45948.0</v>
      </c>
      <c r="H7" s="8">
        <v>45950.0</v>
      </c>
      <c r="I7" s="3">
        <v>2100.0</v>
      </c>
      <c r="J7" s="3">
        <v>1000.0</v>
      </c>
      <c r="K7" s="3">
        <f t="shared" si="1"/>
        <v>1100</v>
      </c>
      <c r="L7" s="3" t="s">
        <v>30</v>
      </c>
      <c r="M7" s="7" t="str">
        <f t="shared" si="2"/>
        <v>2025-10</v>
      </c>
    </row>
    <row r="8">
      <c r="A8" s="3" t="s">
        <v>39</v>
      </c>
      <c r="B8" s="3" t="s">
        <v>40</v>
      </c>
      <c r="C8" s="4">
        <v>6.350408191E9</v>
      </c>
      <c r="D8" s="3" t="s">
        <v>15</v>
      </c>
      <c r="E8" s="3" t="s">
        <v>41</v>
      </c>
      <c r="F8" s="3" t="s">
        <v>17</v>
      </c>
      <c r="G8" s="6">
        <v>45938.0</v>
      </c>
      <c r="H8" s="8">
        <v>45944.0</v>
      </c>
      <c r="I8" s="3">
        <v>1500.0</v>
      </c>
      <c r="J8" s="3">
        <v>1500.0</v>
      </c>
      <c r="K8" s="3">
        <f t="shared" si="1"/>
        <v>0</v>
      </c>
      <c r="L8" s="3" t="s">
        <v>35</v>
      </c>
      <c r="M8" s="7" t="str">
        <f t="shared" si="2"/>
        <v>2025-10</v>
      </c>
    </row>
    <row r="9">
      <c r="A9" s="3" t="s">
        <v>42</v>
      </c>
      <c r="B9" s="3" t="s">
        <v>43</v>
      </c>
      <c r="C9" s="4">
        <v>8.856107653E9</v>
      </c>
      <c r="D9" s="3" t="s">
        <v>15</v>
      </c>
      <c r="E9" s="3" t="s">
        <v>44</v>
      </c>
      <c r="F9" s="3" t="s">
        <v>17</v>
      </c>
      <c r="G9" s="8">
        <v>45941.0</v>
      </c>
      <c r="H9" s="8">
        <v>45947.0</v>
      </c>
      <c r="I9" s="3">
        <v>1100.0</v>
      </c>
      <c r="J9" s="3">
        <v>500.0</v>
      </c>
      <c r="K9" s="3">
        <f t="shared" si="1"/>
        <v>600</v>
      </c>
      <c r="L9" s="3" t="s">
        <v>45</v>
      </c>
      <c r="M9" s="7" t="str">
        <f t="shared" si="2"/>
        <v>2025-10</v>
      </c>
    </row>
    <row r="10">
      <c r="A10" s="3" t="s">
        <v>46</v>
      </c>
      <c r="B10" s="3" t="s">
        <v>47</v>
      </c>
      <c r="C10" s="4">
        <v>7.665712012E9</v>
      </c>
      <c r="D10" s="3" t="s">
        <v>15</v>
      </c>
      <c r="E10" s="3" t="s">
        <v>38</v>
      </c>
      <c r="F10" s="3" t="s">
        <v>17</v>
      </c>
      <c r="G10" s="6">
        <v>45902.0</v>
      </c>
      <c r="H10" s="6">
        <v>45906.0</v>
      </c>
      <c r="I10" s="3">
        <v>700.0</v>
      </c>
      <c r="J10" s="3">
        <v>700.0</v>
      </c>
      <c r="K10" s="3">
        <f t="shared" si="1"/>
        <v>0</v>
      </c>
      <c r="L10" s="3" t="s">
        <v>30</v>
      </c>
      <c r="M10" s="7" t="str">
        <f t="shared" si="2"/>
        <v>2025-09</v>
      </c>
    </row>
    <row r="11">
      <c r="A11" s="3" t="s">
        <v>48</v>
      </c>
      <c r="B11" s="3" t="s">
        <v>49</v>
      </c>
      <c r="C11" s="4">
        <v>7.024027564E9</v>
      </c>
      <c r="D11" s="3" t="s">
        <v>15</v>
      </c>
      <c r="E11" s="3" t="s">
        <v>38</v>
      </c>
      <c r="F11" s="3" t="s">
        <v>17</v>
      </c>
      <c r="G11" s="4" t="s">
        <v>50</v>
      </c>
      <c r="H11" s="6">
        <v>45934.0</v>
      </c>
      <c r="I11" s="3">
        <v>1000.0</v>
      </c>
      <c r="J11" s="3">
        <v>1000.0</v>
      </c>
      <c r="K11" s="3">
        <f t="shared" si="1"/>
        <v>0</v>
      </c>
      <c r="L11" s="3" t="s">
        <v>30</v>
      </c>
      <c r="M11" s="7" t="str">
        <f t="shared" si="2"/>
        <v>31/09/2025</v>
      </c>
    </row>
    <row r="12">
      <c r="A12" s="3" t="s">
        <v>51</v>
      </c>
      <c r="B12" s="3" t="s">
        <v>52</v>
      </c>
      <c r="C12" s="4">
        <v>9.571268223E9</v>
      </c>
      <c r="D12" s="3" t="s">
        <v>15</v>
      </c>
      <c r="E12" s="3" t="s">
        <v>38</v>
      </c>
      <c r="F12" s="3" t="s">
        <v>17</v>
      </c>
      <c r="G12" s="6">
        <v>45922.0</v>
      </c>
      <c r="H12" s="6">
        <v>45924.0</v>
      </c>
      <c r="I12" s="3">
        <v>2000.0</v>
      </c>
      <c r="J12" s="3">
        <v>1000.0</v>
      </c>
      <c r="K12" s="3">
        <f t="shared" si="1"/>
        <v>1000</v>
      </c>
      <c r="L12" s="3" t="s">
        <v>30</v>
      </c>
      <c r="M12" s="7" t="str">
        <f t="shared" si="2"/>
        <v>2025-09</v>
      </c>
    </row>
    <row r="13">
      <c r="A13" s="3" t="s">
        <v>53</v>
      </c>
      <c r="B13" s="3" t="s">
        <v>54</v>
      </c>
      <c r="C13" s="4">
        <v>7.427004028E9</v>
      </c>
      <c r="D13" s="3" t="s">
        <v>15</v>
      </c>
      <c r="E13" s="3" t="s">
        <v>55</v>
      </c>
      <c r="F13" s="3" t="s">
        <v>17</v>
      </c>
      <c r="G13" s="6">
        <v>45864.0</v>
      </c>
      <c r="H13" s="6">
        <v>45868.0</v>
      </c>
      <c r="I13" s="3">
        <v>1500.0</v>
      </c>
      <c r="J13" s="3">
        <v>700.0</v>
      </c>
      <c r="K13" s="3">
        <f t="shared" si="1"/>
        <v>800</v>
      </c>
      <c r="L13" s="3" t="s">
        <v>56</v>
      </c>
      <c r="M13" s="7" t="str">
        <f t="shared" si="2"/>
        <v>2025-07</v>
      </c>
    </row>
    <row r="14">
      <c r="A14" s="3" t="s">
        <v>57</v>
      </c>
      <c r="B14" s="3" t="s">
        <v>58</v>
      </c>
      <c r="C14" s="4">
        <v>7.340148101E9</v>
      </c>
      <c r="D14" s="3" t="s">
        <v>15</v>
      </c>
      <c r="E14" s="3" t="s">
        <v>44</v>
      </c>
      <c r="F14" s="3" t="s">
        <v>34</v>
      </c>
      <c r="G14" s="6">
        <v>45893.0</v>
      </c>
      <c r="H14" s="6">
        <v>45899.0</v>
      </c>
      <c r="I14" s="3">
        <v>1700.0</v>
      </c>
      <c r="J14" s="3">
        <v>1000.0</v>
      </c>
      <c r="K14" s="3">
        <f t="shared" si="1"/>
        <v>700</v>
      </c>
      <c r="L14" s="3" t="s">
        <v>35</v>
      </c>
      <c r="M14" s="7" t="str">
        <f t="shared" si="2"/>
        <v>2025-08</v>
      </c>
    </row>
    <row r="15">
      <c r="A15" s="3" t="s">
        <v>59</v>
      </c>
      <c r="B15" s="3" t="s">
        <v>60</v>
      </c>
      <c r="C15" s="4">
        <v>7.782806612E9</v>
      </c>
      <c r="D15" s="3" t="s">
        <v>15</v>
      </c>
      <c r="E15" s="3" t="s">
        <v>38</v>
      </c>
      <c r="F15" s="3" t="s">
        <v>17</v>
      </c>
      <c r="G15" s="6">
        <v>45917.0</v>
      </c>
      <c r="H15" s="6">
        <v>45924.0</v>
      </c>
      <c r="I15" s="3">
        <v>1200.0</v>
      </c>
      <c r="J15" s="3">
        <v>500.0</v>
      </c>
      <c r="K15" s="3">
        <f t="shared" si="1"/>
        <v>700</v>
      </c>
      <c r="L15" s="3" t="s">
        <v>56</v>
      </c>
      <c r="M15" s="7" t="str">
        <f t="shared" si="2"/>
        <v>2025-09</v>
      </c>
    </row>
    <row r="16">
      <c r="A16" s="3" t="s">
        <v>61</v>
      </c>
      <c r="B16" s="3" t="s">
        <v>62</v>
      </c>
      <c r="C16" s="4">
        <v>9.828008912E9</v>
      </c>
      <c r="D16" s="3" t="s">
        <v>15</v>
      </c>
      <c r="E16" s="3" t="s">
        <v>41</v>
      </c>
      <c r="F16" s="3" t="s">
        <v>17</v>
      </c>
      <c r="G16" s="8">
        <v>45950.0</v>
      </c>
      <c r="H16" s="8">
        <v>45958.0</v>
      </c>
      <c r="I16" s="3">
        <v>3000.0</v>
      </c>
      <c r="J16" s="3">
        <v>2000.0</v>
      </c>
      <c r="K16" s="3">
        <f t="shared" si="1"/>
        <v>1000</v>
      </c>
      <c r="L16" s="3" t="s">
        <v>45</v>
      </c>
      <c r="M16" s="7" t="str">
        <f t="shared" si="2"/>
        <v>2025-10</v>
      </c>
    </row>
    <row r="17">
      <c r="A17" s="3" t="s">
        <v>63</v>
      </c>
      <c r="B17" s="3" t="s">
        <v>64</v>
      </c>
      <c r="C17" s="4">
        <v>8.005961045E9</v>
      </c>
      <c r="D17" s="3" t="s">
        <v>15</v>
      </c>
      <c r="E17" s="3" t="s">
        <v>44</v>
      </c>
      <c r="F17" s="3" t="s">
        <v>17</v>
      </c>
      <c r="G17" s="8">
        <v>45945.0</v>
      </c>
      <c r="H17" s="8">
        <v>45947.0</v>
      </c>
      <c r="I17" s="3">
        <v>3250.0</v>
      </c>
      <c r="J17" s="3">
        <v>1750.0</v>
      </c>
      <c r="K17" s="3">
        <v>1500.0</v>
      </c>
      <c r="L17" s="3" t="s">
        <v>45</v>
      </c>
      <c r="M17" s="7" t="str">
        <f t="shared" si="2"/>
        <v>2025-10</v>
      </c>
    </row>
    <row r="18">
      <c r="A18" s="3" t="s">
        <v>65</v>
      </c>
      <c r="B18" s="3" t="s">
        <v>66</v>
      </c>
      <c r="C18" s="4" t="s">
        <v>67</v>
      </c>
      <c r="D18" s="3" t="s">
        <v>68</v>
      </c>
      <c r="E18" s="3" t="s">
        <v>69</v>
      </c>
      <c r="F18" s="3" t="s">
        <v>17</v>
      </c>
      <c r="G18" s="6">
        <v>45933.0</v>
      </c>
      <c r="H18" s="6">
        <v>45936.0</v>
      </c>
      <c r="I18" s="3">
        <v>400.0</v>
      </c>
      <c r="J18" s="3">
        <v>200.0</v>
      </c>
      <c r="K18" s="3">
        <f t="shared" ref="K18:K37" si="3"> I18 - J18</f>
        <v>200</v>
      </c>
      <c r="L18" s="3" t="s">
        <v>30</v>
      </c>
      <c r="M18" s="7" t="str">
        <f t="shared" si="2"/>
        <v>2025-10</v>
      </c>
    </row>
    <row r="19">
      <c r="A19" s="3" t="s">
        <v>70</v>
      </c>
      <c r="B19" s="3" t="s">
        <v>71</v>
      </c>
      <c r="C19" s="4">
        <v>7.300127553E9</v>
      </c>
      <c r="D19" s="3" t="s">
        <v>15</v>
      </c>
      <c r="E19" s="3" t="s">
        <v>44</v>
      </c>
      <c r="F19" s="3" t="s">
        <v>17</v>
      </c>
      <c r="G19" s="6">
        <v>45925.0</v>
      </c>
      <c r="H19" s="6">
        <v>45934.0</v>
      </c>
      <c r="I19" s="3">
        <v>400.0</v>
      </c>
      <c r="J19" s="3">
        <v>400.0</v>
      </c>
      <c r="K19" s="3">
        <f t="shared" si="3"/>
        <v>0</v>
      </c>
      <c r="L19" s="3" t="s">
        <v>30</v>
      </c>
      <c r="M19" s="7" t="str">
        <f t="shared" si="2"/>
        <v>2025-09</v>
      </c>
    </row>
    <row r="20">
      <c r="A20" s="3" t="s">
        <v>72</v>
      </c>
      <c r="B20" s="3" t="s">
        <v>73</v>
      </c>
      <c r="C20" s="4">
        <v>8.944340887E9</v>
      </c>
      <c r="D20" s="3" t="s">
        <v>15</v>
      </c>
      <c r="E20" s="3" t="s">
        <v>41</v>
      </c>
      <c r="F20" s="3" t="s">
        <v>17</v>
      </c>
      <c r="G20" s="8">
        <v>45940.0</v>
      </c>
      <c r="H20" s="8">
        <v>45946.0</v>
      </c>
      <c r="I20" s="3">
        <v>3300.0</v>
      </c>
      <c r="J20" s="3">
        <v>2000.0</v>
      </c>
      <c r="K20" s="3">
        <f t="shared" si="3"/>
        <v>1300</v>
      </c>
      <c r="L20" s="3" t="s">
        <v>45</v>
      </c>
      <c r="M20" s="7" t="str">
        <f t="shared" si="2"/>
        <v>2025-10</v>
      </c>
    </row>
    <row r="21">
      <c r="A21" s="3" t="s">
        <v>74</v>
      </c>
      <c r="B21" s="3" t="s">
        <v>75</v>
      </c>
      <c r="C21" s="4" t="s">
        <v>67</v>
      </c>
      <c r="D21" s="3" t="s">
        <v>15</v>
      </c>
      <c r="E21" s="3" t="s">
        <v>76</v>
      </c>
      <c r="F21" s="3" t="s">
        <v>17</v>
      </c>
      <c r="G21" s="6">
        <v>45907.0</v>
      </c>
      <c r="H21" s="6">
        <v>45914.0</v>
      </c>
      <c r="I21" s="3">
        <v>800.0</v>
      </c>
      <c r="J21" s="3">
        <v>600.0</v>
      </c>
      <c r="K21" s="3">
        <f t="shared" si="3"/>
        <v>200</v>
      </c>
      <c r="L21" s="3" t="s">
        <v>56</v>
      </c>
      <c r="M21" s="7" t="str">
        <f t="shared" si="2"/>
        <v>2025-09</v>
      </c>
    </row>
    <row r="22">
      <c r="A22" s="3" t="s">
        <v>77</v>
      </c>
      <c r="B22" s="3" t="s">
        <v>78</v>
      </c>
      <c r="C22" s="4">
        <v>7.576124087E9</v>
      </c>
      <c r="D22" s="3" t="s">
        <v>15</v>
      </c>
      <c r="E22" s="3" t="s">
        <v>44</v>
      </c>
      <c r="F22" s="3" t="s">
        <v>17</v>
      </c>
      <c r="G22" s="6">
        <v>45920.0</v>
      </c>
      <c r="H22" s="6">
        <v>45930.0</v>
      </c>
      <c r="I22" s="3">
        <v>1800.0</v>
      </c>
      <c r="J22" s="3">
        <v>1000.0</v>
      </c>
      <c r="K22" s="3">
        <f t="shared" si="3"/>
        <v>800</v>
      </c>
      <c r="L22" s="3" t="s">
        <v>35</v>
      </c>
      <c r="M22" s="7" t="str">
        <f t="shared" si="2"/>
        <v>2025-09</v>
      </c>
    </row>
    <row r="23">
      <c r="A23" s="3" t="s">
        <v>79</v>
      </c>
      <c r="B23" s="3" t="s">
        <v>80</v>
      </c>
      <c r="C23" s="4">
        <v>9.892233012E9</v>
      </c>
      <c r="D23" s="3" t="s">
        <v>15</v>
      </c>
      <c r="E23" s="3" t="s">
        <v>41</v>
      </c>
      <c r="F23" s="3" t="s">
        <v>17</v>
      </c>
      <c r="G23" s="8">
        <v>45951.0</v>
      </c>
      <c r="H23" s="6">
        <v>45962.0</v>
      </c>
      <c r="I23" s="3">
        <v>3300.0</v>
      </c>
      <c r="J23" s="3">
        <v>2000.0</v>
      </c>
      <c r="K23" s="3">
        <f t="shared" si="3"/>
        <v>1300</v>
      </c>
      <c r="L23" s="3" t="s">
        <v>81</v>
      </c>
      <c r="M23" s="7" t="str">
        <f t="shared" si="2"/>
        <v>2025-10</v>
      </c>
    </row>
    <row r="24">
      <c r="A24" s="3" t="s">
        <v>82</v>
      </c>
      <c r="B24" s="3" t="s">
        <v>83</v>
      </c>
      <c r="C24" s="4">
        <v>9.852361228E9</v>
      </c>
      <c r="D24" s="3" t="s">
        <v>15</v>
      </c>
      <c r="E24" s="3" t="s">
        <v>38</v>
      </c>
      <c r="F24" s="3" t="s">
        <v>17</v>
      </c>
      <c r="G24" s="6">
        <v>45911.0</v>
      </c>
      <c r="H24" s="6">
        <v>45915.0</v>
      </c>
      <c r="I24" s="3">
        <v>1000.0</v>
      </c>
      <c r="J24" s="3">
        <v>500.0</v>
      </c>
      <c r="K24" s="3">
        <f t="shared" si="3"/>
        <v>500</v>
      </c>
      <c r="M24" s="7" t="str">
        <f t="shared" si="2"/>
        <v>2025-09</v>
      </c>
    </row>
    <row r="25">
      <c r="A25" s="3" t="s">
        <v>84</v>
      </c>
      <c r="B25" s="3" t="s">
        <v>85</v>
      </c>
      <c r="C25" s="4">
        <v>7.624320149E9</v>
      </c>
      <c r="D25" s="3" t="s">
        <v>15</v>
      </c>
      <c r="E25" s="3" t="s">
        <v>41</v>
      </c>
      <c r="F25" s="3" t="s">
        <v>17</v>
      </c>
      <c r="G25" s="6">
        <v>45914.0</v>
      </c>
      <c r="H25" s="6">
        <v>45918.0</v>
      </c>
      <c r="I25" s="3">
        <v>2500.0</v>
      </c>
      <c r="J25" s="3">
        <v>1500.0</v>
      </c>
      <c r="K25" s="3">
        <f t="shared" si="3"/>
        <v>1000</v>
      </c>
      <c r="M25" s="7" t="str">
        <f t="shared" si="2"/>
        <v>2025-09</v>
      </c>
    </row>
    <row r="26">
      <c r="A26" s="3" t="s">
        <v>86</v>
      </c>
      <c r="B26" s="3" t="s">
        <v>87</v>
      </c>
      <c r="C26" s="4">
        <v>9.079981782E9</v>
      </c>
      <c r="D26" s="3" t="s">
        <v>15</v>
      </c>
      <c r="E26" s="3" t="s">
        <v>44</v>
      </c>
      <c r="F26" s="3" t="s">
        <v>17</v>
      </c>
      <c r="G26" s="6">
        <v>45815.0</v>
      </c>
      <c r="H26" s="6">
        <v>45822.0</v>
      </c>
      <c r="I26" s="3">
        <v>3300.0</v>
      </c>
      <c r="J26" s="3">
        <v>1000.0</v>
      </c>
      <c r="K26" s="3">
        <f t="shared" si="3"/>
        <v>2300</v>
      </c>
      <c r="L26" s="3" t="s">
        <v>88</v>
      </c>
      <c r="M26" s="7" t="str">
        <f t="shared" si="2"/>
        <v>2025-06</v>
      </c>
    </row>
    <row r="27">
      <c r="A27" s="3" t="s">
        <v>89</v>
      </c>
      <c r="B27" s="3" t="s">
        <v>90</v>
      </c>
      <c r="C27" s="4">
        <v>9.928541145E9</v>
      </c>
      <c r="D27" s="3" t="s">
        <v>15</v>
      </c>
      <c r="E27" s="3" t="s">
        <v>41</v>
      </c>
      <c r="F27" s="3" t="s">
        <v>17</v>
      </c>
      <c r="G27" s="6">
        <v>45865.0</v>
      </c>
      <c r="H27" s="6">
        <v>45868.0</v>
      </c>
      <c r="I27" s="3">
        <v>3700.0</v>
      </c>
      <c r="J27" s="3">
        <v>1300.0</v>
      </c>
      <c r="K27" s="3">
        <f t="shared" si="3"/>
        <v>2400</v>
      </c>
      <c r="M27" s="7" t="str">
        <f t="shared" si="2"/>
        <v>2025-07</v>
      </c>
    </row>
    <row r="28">
      <c r="A28" s="3" t="s">
        <v>91</v>
      </c>
      <c r="B28" s="3" t="s">
        <v>92</v>
      </c>
      <c r="C28" s="4">
        <v>9.877280877E9</v>
      </c>
      <c r="D28" s="3" t="s">
        <v>15</v>
      </c>
      <c r="E28" s="3" t="s">
        <v>44</v>
      </c>
      <c r="F28" s="3" t="s">
        <v>34</v>
      </c>
      <c r="G28" s="6">
        <v>45828.0</v>
      </c>
      <c r="H28" s="6">
        <v>45832.0</v>
      </c>
      <c r="I28" s="3">
        <v>1200.0</v>
      </c>
      <c r="J28" s="3">
        <v>1000.0</v>
      </c>
      <c r="K28" s="3">
        <f t="shared" si="3"/>
        <v>200</v>
      </c>
      <c r="L28" s="3" t="s">
        <v>93</v>
      </c>
      <c r="M28" s="7" t="str">
        <f t="shared" si="2"/>
        <v>2025-06</v>
      </c>
    </row>
    <row r="29">
      <c r="A29" s="3" t="s">
        <v>94</v>
      </c>
      <c r="B29" s="3" t="s">
        <v>95</v>
      </c>
      <c r="C29" s="4">
        <v>9.832454875E9</v>
      </c>
      <c r="D29" s="3" t="s">
        <v>15</v>
      </c>
      <c r="E29" s="3" t="s">
        <v>38</v>
      </c>
      <c r="F29" s="3" t="s">
        <v>17</v>
      </c>
      <c r="G29" s="6">
        <v>45848.0</v>
      </c>
      <c r="H29" s="6">
        <v>45852.0</v>
      </c>
      <c r="I29" s="3">
        <v>800.0</v>
      </c>
      <c r="J29" s="3">
        <v>400.0</v>
      </c>
      <c r="K29" s="3">
        <f t="shared" si="3"/>
        <v>400</v>
      </c>
      <c r="L29" s="3" t="s">
        <v>56</v>
      </c>
      <c r="M29" s="7" t="str">
        <f t="shared" si="2"/>
        <v>2025-07</v>
      </c>
    </row>
    <row r="30">
      <c r="A30" s="3" t="s">
        <v>96</v>
      </c>
      <c r="B30" s="3" t="s">
        <v>97</v>
      </c>
      <c r="C30" s="4">
        <v>9.821032012E9</v>
      </c>
      <c r="D30" s="3" t="s">
        <v>15</v>
      </c>
      <c r="E30" s="3" t="s">
        <v>44</v>
      </c>
      <c r="F30" s="3" t="s">
        <v>17</v>
      </c>
      <c r="G30" s="6">
        <v>45933.0</v>
      </c>
      <c r="H30" s="6">
        <v>45938.0</v>
      </c>
      <c r="I30" s="3">
        <v>3200.0</v>
      </c>
      <c r="J30" s="3">
        <v>1500.0</v>
      </c>
      <c r="K30" s="3">
        <f t="shared" si="3"/>
        <v>1700</v>
      </c>
      <c r="L30" s="3" t="s">
        <v>98</v>
      </c>
      <c r="M30" s="7" t="str">
        <f t="shared" si="2"/>
        <v>2025-10</v>
      </c>
    </row>
    <row r="31">
      <c r="A31" s="3" t="s">
        <v>99</v>
      </c>
      <c r="B31" s="3" t="s">
        <v>100</v>
      </c>
      <c r="C31" s="4">
        <v>9.773808712E9</v>
      </c>
      <c r="D31" s="3" t="s">
        <v>15</v>
      </c>
      <c r="E31" s="3" t="s">
        <v>38</v>
      </c>
      <c r="F31" s="3" t="s">
        <v>17</v>
      </c>
      <c r="G31" s="6">
        <v>45909.0</v>
      </c>
      <c r="H31" s="6">
        <v>45913.0</v>
      </c>
      <c r="I31" s="3">
        <v>900.0</v>
      </c>
      <c r="J31" s="3">
        <v>500.0</v>
      </c>
      <c r="K31" s="3">
        <f t="shared" si="3"/>
        <v>400</v>
      </c>
      <c r="L31" s="3" t="s">
        <v>56</v>
      </c>
      <c r="M31" s="7" t="str">
        <f t="shared" si="2"/>
        <v>2025-09</v>
      </c>
    </row>
    <row r="32">
      <c r="A32" s="3" t="s">
        <v>101</v>
      </c>
      <c r="B32" s="3" t="s">
        <v>102</v>
      </c>
      <c r="C32" s="4">
        <v>7.665777899E9</v>
      </c>
      <c r="D32" s="3" t="s">
        <v>15</v>
      </c>
      <c r="E32" s="3" t="s">
        <v>41</v>
      </c>
      <c r="F32" s="3" t="s">
        <v>17</v>
      </c>
      <c r="G32" s="8">
        <v>45945.0</v>
      </c>
      <c r="H32" s="8">
        <v>45948.0</v>
      </c>
      <c r="I32" s="3">
        <v>3000.0</v>
      </c>
      <c r="J32" s="3">
        <v>2000.0</v>
      </c>
      <c r="K32" s="3">
        <f t="shared" si="3"/>
        <v>1000</v>
      </c>
      <c r="L32" s="3" t="s">
        <v>103</v>
      </c>
      <c r="M32" s="7" t="str">
        <f t="shared" si="2"/>
        <v>2025-10</v>
      </c>
    </row>
    <row r="33">
      <c r="A33" s="3" t="s">
        <v>104</v>
      </c>
      <c r="B33" s="3" t="s">
        <v>105</v>
      </c>
      <c r="C33" s="4">
        <v>7.982808778E9</v>
      </c>
      <c r="D33" s="3" t="s">
        <v>15</v>
      </c>
      <c r="E33" s="3" t="s">
        <v>41</v>
      </c>
      <c r="F33" s="3" t="s">
        <v>34</v>
      </c>
      <c r="G33" s="8">
        <v>45946.0</v>
      </c>
      <c r="H33" s="8">
        <v>45950.0</v>
      </c>
      <c r="I33" s="3">
        <v>1500.0</v>
      </c>
      <c r="J33" s="3">
        <v>1000.0</v>
      </c>
      <c r="K33" s="3">
        <f t="shared" si="3"/>
        <v>500</v>
      </c>
      <c r="L33" s="3" t="s">
        <v>98</v>
      </c>
      <c r="M33" s="7" t="str">
        <f t="shared" si="2"/>
        <v>2025-10</v>
      </c>
    </row>
    <row r="34">
      <c r="A34" s="3" t="s">
        <v>106</v>
      </c>
      <c r="B34" s="3" t="s">
        <v>107</v>
      </c>
      <c r="C34" s="4">
        <v>7.728089877E9</v>
      </c>
      <c r="D34" s="3" t="s">
        <v>15</v>
      </c>
      <c r="E34" s="3" t="s">
        <v>38</v>
      </c>
      <c r="F34" s="3" t="s">
        <v>17</v>
      </c>
      <c r="G34" s="6">
        <v>45890.0</v>
      </c>
      <c r="H34" s="6">
        <v>45897.0</v>
      </c>
      <c r="I34" s="3">
        <v>1200.0</v>
      </c>
      <c r="J34" s="3">
        <v>600.0</v>
      </c>
      <c r="K34" s="3">
        <f t="shared" si="3"/>
        <v>600</v>
      </c>
      <c r="L34" s="3" t="s">
        <v>56</v>
      </c>
      <c r="M34" s="7" t="str">
        <f t="shared" si="2"/>
        <v>2025-08</v>
      </c>
    </row>
    <row r="35">
      <c r="A35" s="3" t="s">
        <v>108</v>
      </c>
      <c r="B35" s="3" t="s">
        <v>109</v>
      </c>
      <c r="C35" s="4">
        <v>9.935267592E9</v>
      </c>
      <c r="D35" s="3" t="s">
        <v>15</v>
      </c>
      <c r="E35" s="3" t="s">
        <v>33</v>
      </c>
      <c r="F35" s="3" t="s">
        <v>17</v>
      </c>
      <c r="G35" s="6">
        <v>45891.0</v>
      </c>
      <c r="H35" s="6">
        <v>45889.0</v>
      </c>
      <c r="I35" s="3">
        <v>1300.0</v>
      </c>
      <c r="J35" s="3">
        <v>600.0</v>
      </c>
      <c r="K35" s="3">
        <f t="shared" si="3"/>
        <v>700</v>
      </c>
      <c r="L35" s="3" t="s">
        <v>110</v>
      </c>
      <c r="M35" s="7" t="str">
        <f t="shared" si="2"/>
        <v>2025-08</v>
      </c>
    </row>
    <row r="36">
      <c r="A36" s="3" t="s">
        <v>111</v>
      </c>
      <c r="B36" s="3" t="s">
        <v>112</v>
      </c>
      <c r="C36" s="4">
        <v>7.289374659E9</v>
      </c>
      <c r="D36" s="3" t="s">
        <v>15</v>
      </c>
      <c r="E36" s="3" t="s">
        <v>38</v>
      </c>
      <c r="F36" s="3" t="s">
        <v>17</v>
      </c>
      <c r="G36" s="6">
        <v>45910.0</v>
      </c>
      <c r="H36" s="6">
        <v>45926.0</v>
      </c>
      <c r="I36" s="3">
        <v>900.0</v>
      </c>
      <c r="J36" s="3">
        <v>500.0</v>
      </c>
      <c r="K36" s="3">
        <f t="shared" si="3"/>
        <v>400</v>
      </c>
      <c r="L36" s="3" t="s">
        <v>56</v>
      </c>
      <c r="M36" s="7" t="str">
        <f t="shared" si="2"/>
        <v>2025-09</v>
      </c>
    </row>
    <row r="37">
      <c r="A37" s="3" t="s">
        <v>113</v>
      </c>
      <c r="B37" s="3" t="s">
        <v>114</v>
      </c>
      <c r="C37" s="4">
        <v>7.642989323E9</v>
      </c>
      <c r="D37" s="3" t="s">
        <v>15</v>
      </c>
      <c r="E37" s="3" t="s">
        <v>38</v>
      </c>
      <c r="F37" s="3" t="s">
        <v>17</v>
      </c>
      <c r="G37" s="6">
        <v>45912.0</v>
      </c>
      <c r="H37" s="6">
        <v>45914.0</v>
      </c>
      <c r="I37" s="3">
        <v>1350.0</v>
      </c>
      <c r="J37" s="3">
        <v>800.0</v>
      </c>
      <c r="K37" s="3">
        <f t="shared" si="3"/>
        <v>550</v>
      </c>
      <c r="L37" s="3" t="s">
        <v>56</v>
      </c>
      <c r="M37" s="7" t="str">
        <f t="shared" si="2"/>
        <v>2025-09</v>
      </c>
    </row>
    <row r="38">
      <c r="C38" s="9"/>
      <c r="G38" s="9"/>
      <c r="H38" s="9"/>
    </row>
    <row r="39">
      <c r="C39" s="9"/>
      <c r="G39" s="9"/>
      <c r="H39" s="9"/>
    </row>
    <row r="40">
      <c r="C40" s="9"/>
      <c r="G40" s="9"/>
      <c r="H40" s="9"/>
    </row>
    <row r="41">
      <c r="C41" s="9"/>
      <c r="G41" s="9"/>
      <c r="H41" s="9"/>
    </row>
    <row r="42">
      <c r="C42" s="9"/>
      <c r="G42" s="9"/>
      <c r="H42" s="9"/>
    </row>
    <row r="43">
      <c r="C43" s="9"/>
      <c r="G43" s="9"/>
      <c r="H43" s="9"/>
    </row>
    <row r="44">
      <c r="C44" s="9"/>
      <c r="G44" s="9"/>
      <c r="H44" s="9"/>
    </row>
    <row r="45">
      <c r="C45" s="9"/>
      <c r="G45" s="9"/>
      <c r="H45" s="9"/>
    </row>
    <row r="46">
      <c r="C46" s="9"/>
      <c r="G46" s="9"/>
      <c r="H46" s="9"/>
    </row>
    <row r="47">
      <c r="C47" s="9"/>
      <c r="G47" s="9"/>
      <c r="H47" s="9"/>
    </row>
    <row r="48">
      <c r="C48" s="9"/>
      <c r="G48" s="9"/>
      <c r="H48" s="9"/>
    </row>
    <row r="49">
      <c r="C49" s="9"/>
      <c r="G49" s="9"/>
      <c r="H49" s="9"/>
    </row>
    <row r="50">
      <c r="C50" s="9"/>
      <c r="G50" s="9"/>
      <c r="H50" s="9"/>
    </row>
    <row r="51">
      <c r="A51" s="10" t="s">
        <v>12</v>
      </c>
      <c r="B51" s="10" t="s">
        <v>115</v>
      </c>
      <c r="C51" s="11" t="s">
        <v>116</v>
      </c>
      <c r="D51" s="10" t="s">
        <v>117</v>
      </c>
      <c r="E51" s="10" t="s">
        <v>118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3">
        <v>45809.0</v>
      </c>
      <c r="B52" s="14">
        <v>4.0</v>
      </c>
      <c r="C52" s="15">
        <v>4500.0</v>
      </c>
      <c r="D52" s="14">
        <v>10.0</v>
      </c>
      <c r="E52" s="16">
        <f t="shared" ref="E52:E57" si="4">C52/D52
</f>
        <v>450</v>
      </c>
      <c r="G52" s="9"/>
      <c r="H52" s="9"/>
    </row>
    <row r="53">
      <c r="A53" s="13">
        <v>45839.0</v>
      </c>
      <c r="B53" s="14">
        <v>7.0</v>
      </c>
      <c r="C53" s="15">
        <v>6000.0</v>
      </c>
      <c r="D53" s="14">
        <v>31.0</v>
      </c>
      <c r="E53" s="16">
        <f t="shared" si="4"/>
        <v>193.5483871</v>
      </c>
      <c r="G53" s="9"/>
      <c r="H53" s="9"/>
    </row>
    <row r="54">
      <c r="A54" s="13">
        <v>45870.0</v>
      </c>
      <c r="B54" s="14">
        <v>8.0</v>
      </c>
      <c r="C54" s="15">
        <v>6755.0</v>
      </c>
      <c r="D54" s="14">
        <v>31.0</v>
      </c>
      <c r="E54" s="16">
        <f t="shared" si="4"/>
        <v>217.9032258</v>
      </c>
      <c r="G54" s="9"/>
      <c r="H54" s="9"/>
    </row>
    <row r="55">
      <c r="A55" s="13">
        <v>45901.0</v>
      </c>
      <c r="B55" s="14">
        <v>11.0</v>
      </c>
      <c r="C55" s="15">
        <v>18760.0</v>
      </c>
      <c r="D55" s="14">
        <v>30.0</v>
      </c>
      <c r="E55" s="16">
        <f t="shared" si="4"/>
        <v>625.3333333</v>
      </c>
      <c r="G55" s="9"/>
      <c r="H55" s="9"/>
    </row>
    <row r="56">
      <c r="A56" s="13">
        <v>45931.0</v>
      </c>
      <c r="B56" s="14">
        <v>16.0</v>
      </c>
      <c r="C56" s="15">
        <v>27250.0</v>
      </c>
      <c r="D56" s="14">
        <v>31.0</v>
      </c>
      <c r="E56" s="16">
        <f t="shared" si="4"/>
        <v>879.0322581</v>
      </c>
      <c r="G56" s="9"/>
      <c r="H56" s="9"/>
    </row>
    <row r="57">
      <c r="A57" s="17" t="s">
        <v>119</v>
      </c>
      <c r="B57" s="16">
        <f t="shared" ref="B57:D57" si="5">SUM(B52:B56)</f>
        <v>46</v>
      </c>
      <c r="C57" s="18">
        <f t="shared" si="5"/>
        <v>63265</v>
      </c>
      <c r="D57" s="16">
        <f t="shared" si="5"/>
        <v>133</v>
      </c>
      <c r="E57" s="16">
        <f t="shared" si="4"/>
        <v>475.6766917</v>
      </c>
      <c r="G57" s="9"/>
      <c r="H57" s="9"/>
    </row>
    <row r="58">
      <c r="C58" s="9"/>
      <c r="G58" s="9"/>
      <c r="H58" s="9"/>
    </row>
    <row r="59">
      <c r="C59" s="9"/>
      <c r="G59" s="9"/>
      <c r="H59" s="9"/>
    </row>
    <row r="60">
      <c r="C60" s="9"/>
      <c r="G60" s="9"/>
      <c r="H60" s="9"/>
    </row>
    <row r="61">
      <c r="C61" s="9"/>
      <c r="G61" s="9"/>
      <c r="H61" s="9"/>
    </row>
    <row r="62">
      <c r="C62" s="9"/>
      <c r="G62" s="9"/>
      <c r="H62" s="9"/>
    </row>
    <row r="63">
      <c r="C63" s="9"/>
      <c r="G63" s="9"/>
      <c r="H63" s="9"/>
    </row>
    <row r="64">
      <c r="C64" s="9"/>
      <c r="G64" s="9"/>
      <c r="H64" s="9"/>
    </row>
    <row r="65">
      <c r="C65" s="9"/>
      <c r="G65" s="9"/>
      <c r="H65" s="9"/>
    </row>
    <row r="66">
      <c r="C66" s="9"/>
      <c r="G66" s="9"/>
      <c r="H66" s="9"/>
    </row>
    <row r="67">
      <c r="C67" s="9"/>
      <c r="G67" s="9"/>
      <c r="H67" s="9"/>
    </row>
    <row r="68">
      <c r="C68" s="9"/>
      <c r="G68" s="9"/>
      <c r="H68" s="9"/>
    </row>
    <row r="69">
      <c r="C69" s="9"/>
      <c r="G69" s="9"/>
      <c r="H69" s="9"/>
    </row>
    <row r="70">
      <c r="B70" s="7" t="str">
        <f>SUMPRODUCT((MONTH($G$2:$G$50)=6)*(YEAR($G$2:$G$50)=2025))</f>
        <v>#VALUE!</v>
      </c>
      <c r="C70" s="9"/>
      <c r="G70" s="9"/>
      <c r="H70" s="9"/>
    </row>
    <row r="71">
      <c r="C71" s="9"/>
      <c r="G71" s="9"/>
      <c r="H71" s="9"/>
    </row>
    <row r="72">
      <c r="C72" s="9"/>
      <c r="G72" s="9"/>
      <c r="H72" s="9"/>
    </row>
    <row r="73">
      <c r="C73" s="9"/>
      <c r="G73" s="9"/>
      <c r="H73" s="9"/>
    </row>
    <row r="74">
      <c r="C74" s="9"/>
      <c r="G74" s="9"/>
      <c r="H74" s="9"/>
    </row>
    <row r="75">
      <c r="C75" s="9"/>
      <c r="G75" s="9"/>
      <c r="H75" s="9"/>
    </row>
    <row r="76">
      <c r="C76" s="9"/>
      <c r="G76" s="9"/>
      <c r="H76" s="9"/>
    </row>
    <row r="77">
      <c r="C77" s="9"/>
      <c r="G77" s="9"/>
      <c r="H77" s="9"/>
    </row>
    <row r="78">
      <c r="C78" s="9"/>
      <c r="G78" s="9"/>
      <c r="H78" s="9"/>
    </row>
    <row r="79">
      <c r="C79" s="9"/>
      <c r="G79" s="9"/>
      <c r="H79" s="9"/>
    </row>
    <row r="80">
      <c r="C80" s="9"/>
      <c r="G80" s="9"/>
      <c r="H80" s="9"/>
    </row>
    <row r="81">
      <c r="C81" s="9"/>
      <c r="G81" s="9"/>
      <c r="H81" s="9"/>
    </row>
    <row r="82">
      <c r="C82" s="9"/>
      <c r="G82" s="9"/>
      <c r="H82" s="9"/>
    </row>
    <row r="83">
      <c r="C83" s="9"/>
      <c r="G83" s="9"/>
      <c r="H83" s="9"/>
    </row>
    <row r="84">
      <c r="C84" s="9"/>
      <c r="G84" s="9"/>
      <c r="H84" s="9"/>
    </row>
    <row r="85">
      <c r="C85" s="9"/>
      <c r="G85" s="9"/>
      <c r="H85" s="9"/>
    </row>
    <row r="86">
      <c r="C86" s="9"/>
      <c r="G86" s="9"/>
      <c r="H86" s="9"/>
    </row>
    <row r="87">
      <c r="C87" s="9"/>
      <c r="G87" s="9"/>
      <c r="H87" s="9"/>
    </row>
    <row r="88">
      <c r="C88" s="9"/>
      <c r="G88" s="9"/>
      <c r="H88" s="9"/>
    </row>
    <row r="89">
      <c r="C89" s="9"/>
      <c r="G89" s="9"/>
      <c r="H89" s="9"/>
    </row>
    <row r="90">
      <c r="C90" s="9"/>
      <c r="G90" s="9"/>
      <c r="H90" s="9"/>
    </row>
    <row r="91">
      <c r="C91" s="9"/>
      <c r="G91" s="9"/>
      <c r="H91" s="9"/>
    </row>
    <row r="92">
      <c r="C92" s="9"/>
      <c r="G92" s="9"/>
      <c r="H92" s="9"/>
    </row>
    <row r="93">
      <c r="C93" s="9"/>
      <c r="G93" s="9"/>
      <c r="H93" s="9"/>
    </row>
    <row r="94">
      <c r="C94" s="9"/>
      <c r="G94" s="9"/>
      <c r="H94" s="9"/>
    </row>
    <row r="95">
      <c r="C95" s="9"/>
      <c r="G95" s="9"/>
      <c r="H95" s="9"/>
    </row>
    <row r="96">
      <c r="C96" s="9"/>
      <c r="G96" s="9"/>
      <c r="H96" s="9"/>
    </row>
    <row r="97">
      <c r="C97" s="9"/>
      <c r="G97" s="9"/>
      <c r="H97" s="9"/>
    </row>
    <row r="98">
      <c r="C98" s="9"/>
      <c r="G98" s="9"/>
      <c r="H98" s="9"/>
    </row>
    <row r="99">
      <c r="C99" s="9"/>
      <c r="G99" s="9"/>
      <c r="H99" s="9"/>
    </row>
    <row r="100">
      <c r="C100" s="9"/>
      <c r="G100" s="9"/>
      <c r="H100" s="9"/>
    </row>
    <row r="101">
      <c r="C101" s="9"/>
      <c r="G101" s="9"/>
      <c r="H101" s="9"/>
    </row>
    <row r="102">
      <c r="C102" s="9"/>
      <c r="G102" s="9"/>
      <c r="H102" s="9"/>
    </row>
    <row r="103">
      <c r="C103" s="9"/>
      <c r="G103" s="9"/>
      <c r="H103" s="9"/>
    </row>
    <row r="104">
      <c r="C104" s="9"/>
      <c r="G104" s="9"/>
      <c r="H104" s="9"/>
    </row>
    <row r="105">
      <c r="C105" s="9"/>
      <c r="G105" s="9"/>
      <c r="H105" s="9"/>
    </row>
    <row r="106">
      <c r="C106" s="9"/>
      <c r="G106" s="9"/>
      <c r="H106" s="9"/>
    </row>
    <row r="107">
      <c r="C107" s="9"/>
      <c r="G107" s="9"/>
      <c r="H107" s="9"/>
    </row>
    <row r="108">
      <c r="C108" s="9"/>
      <c r="G108" s="9"/>
      <c r="H108" s="9"/>
    </row>
    <row r="109">
      <c r="C109" s="9"/>
      <c r="G109" s="9"/>
      <c r="H109" s="9"/>
    </row>
    <row r="110">
      <c r="C110" s="9"/>
      <c r="G110" s="9"/>
      <c r="H110" s="9"/>
    </row>
    <row r="111">
      <c r="C111" s="9"/>
      <c r="G111" s="9"/>
      <c r="H111" s="9"/>
    </row>
    <row r="112">
      <c r="C112" s="9"/>
      <c r="G112" s="9"/>
      <c r="H112" s="9"/>
    </row>
    <row r="113">
      <c r="C113" s="9"/>
      <c r="G113" s="9"/>
      <c r="H113" s="9"/>
    </row>
    <row r="114">
      <c r="C114" s="9"/>
      <c r="G114" s="9"/>
      <c r="H114" s="9"/>
    </row>
    <row r="115">
      <c r="C115" s="9"/>
      <c r="G115" s="9"/>
      <c r="H115" s="9"/>
    </row>
    <row r="116">
      <c r="C116" s="9"/>
      <c r="G116" s="9"/>
      <c r="H116" s="9"/>
    </row>
    <row r="117">
      <c r="C117" s="9"/>
      <c r="G117" s="9"/>
      <c r="H117" s="9"/>
    </row>
    <row r="118">
      <c r="C118" s="9"/>
      <c r="G118" s="9"/>
      <c r="H118" s="9"/>
    </row>
    <row r="119">
      <c r="C119" s="9"/>
      <c r="G119" s="9"/>
      <c r="H119" s="9"/>
    </row>
    <row r="120">
      <c r="C120" s="9"/>
      <c r="G120" s="9"/>
      <c r="H120" s="9"/>
    </row>
    <row r="121">
      <c r="C121" s="9"/>
      <c r="G121" s="9"/>
      <c r="H121" s="9"/>
    </row>
    <row r="122">
      <c r="C122" s="9"/>
      <c r="G122" s="9"/>
      <c r="H122" s="9"/>
    </row>
    <row r="123">
      <c r="C123" s="9"/>
      <c r="G123" s="9"/>
      <c r="H123" s="9"/>
    </row>
    <row r="124">
      <c r="C124" s="9"/>
      <c r="G124" s="9"/>
      <c r="H124" s="9"/>
    </row>
    <row r="125">
      <c r="C125" s="9"/>
      <c r="G125" s="9"/>
      <c r="H125" s="9"/>
    </row>
    <row r="126">
      <c r="C126" s="9"/>
      <c r="G126" s="9"/>
      <c r="H126" s="9"/>
    </row>
    <row r="127">
      <c r="C127" s="9"/>
      <c r="G127" s="9"/>
      <c r="H127" s="9"/>
    </row>
    <row r="128">
      <c r="C128" s="9"/>
      <c r="G128" s="9"/>
      <c r="H128" s="9"/>
    </row>
    <row r="129">
      <c r="C129" s="9"/>
      <c r="G129" s="9"/>
      <c r="H129" s="9"/>
    </row>
    <row r="130">
      <c r="C130" s="9"/>
      <c r="G130" s="9"/>
      <c r="H130" s="9"/>
    </row>
    <row r="131">
      <c r="C131" s="9"/>
      <c r="G131" s="9"/>
      <c r="H131" s="9"/>
    </row>
    <row r="132">
      <c r="C132" s="9"/>
      <c r="G132" s="9"/>
      <c r="H132" s="9"/>
    </row>
    <row r="133">
      <c r="C133" s="9"/>
      <c r="G133" s="9"/>
      <c r="H133" s="9"/>
    </row>
    <row r="134">
      <c r="C134" s="9"/>
      <c r="G134" s="9"/>
      <c r="H134" s="9"/>
    </row>
    <row r="135">
      <c r="C135" s="9"/>
      <c r="G135" s="9"/>
      <c r="H135" s="9"/>
    </row>
    <row r="136">
      <c r="C136" s="9"/>
      <c r="G136" s="9"/>
      <c r="H136" s="9"/>
    </row>
    <row r="137">
      <c r="C137" s="9"/>
      <c r="G137" s="9"/>
      <c r="H137" s="9"/>
    </row>
    <row r="138">
      <c r="C138" s="9"/>
      <c r="G138" s="9"/>
      <c r="H138" s="9"/>
    </row>
    <row r="139">
      <c r="C139" s="9"/>
      <c r="G139" s="9"/>
      <c r="H139" s="9"/>
    </row>
    <row r="140">
      <c r="C140" s="9"/>
      <c r="G140" s="9"/>
      <c r="H140" s="9"/>
    </row>
    <row r="141">
      <c r="C141" s="9"/>
      <c r="G141" s="9"/>
      <c r="H141" s="9"/>
    </row>
    <row r="142">
      <c r="C142" s="9"/>
      <c r="G142" s="9"/>
      <c r="H142" s="9"/>
    </row>
    <row r="143">
      <c r="C143" s="9"/>
      <c r="G143" s="9"/>
      <c r="H143" s="9"/>
    </row>
    <row r="144">
      <c r="C144" s="9"/>
      <c r="G144" s="9"/>
      <c r="H144" s="9"/>
    </row>
    <row r="145">
      <c r="C145" s="9"/>
      <c r="G145" s="9"/>
      <c r="H145" s="9"/>
    </row>
    <row r="146">
      <c r="C146" s="9"/>
      <c r="G146" s="9"/>
      <c r="H146" s="9"/>
    </row>
    <row r="147">
      <c r="C147" s="9"/>
      <c r="G147" s="9"/>
      <c r="H147" s="9"/>
    </row>
    <row r="148">
      <c r="C148" s="9"/>
      <c r="G148" s="9"/>
      <c r="H148" s="9"/>
    </row>
    <row r="149">
      <c r="C149" s="9"/>
      <c r="G149" s="9"/>
      <c r="H149" s="9"/>
    </row>
    <row r="150">
      <c r="C150" s="9"/>
      <c r="G150" s="9"/>
      <c r="H150" s="9"/>
    </row>
    <row r="151">
      <c r="C151" s="9"/>
      <c r="G151" s="9"/>
      <c r="H151" s="9"/>
    </row>
    <row r="152">
      <c r="C152" s="9"/>
      <c r="G152" s="9"/>
      <c r="H152" s="9"/>
    </row>
    <row r="153">
      <c r="C153" s="9"/>
      <c r="G153" s="9"/>
      <c r="H153" s="9"/>
    </row>
    <row r="154">
      <c r="C154" s="9"/>
      <c r="G154" s="9"/>
      <c r="H154" s="9"/>
    </row>
    <row r="155">
      <c r="C155" s="9"/>
      <c r="G155" s="9"/>
      <c r="H155" s="9"/>
    </row>
    <row r="156">
      <c r="C156" s="9"/>
      <c r="G156" s="9"/>
      <c r="H156" s="9"/>
    </row>
    <row r="157">
      <c r="C157" s="9"/>
      <c r="G157" s="9"/>
      <c r="H157" s="9"/>
    </row>
    <row r="158">
      <c r="A158" s="3"/>
      <c r="C158" s="9"/>
      <c r="G158" s="9"/>
      <c r="H158" s="9"/>
    </row>
    <row r="159">
      <c r="C159" s="9"/>
      <c r="G159" s="9"/>
      <c r="H159" s="9"/>
    </row>
    <row r="160">
      <c r="C160" s="9"/>
      <c r="G160" s="9"/>
      <c r="H160" s="9"/>
    </row>
    <row r="161">
      <c r="C161" s="9"/>
      <c r="G161" s="9"/>
      <c r="H161" s="9"/>
    </row>
    <row r="162">
      <c r="C162" s="9"/>
      <c r="G162" s="9"/>
      <c r="H162" s="9"/>
    </row>
    <row r="163">
      <c r="C163" s="9"/>
      <c r="G163" s="9"/>
      <c r="H163" s="9"/>
    </row>
    <row r="164">
      <c r="C164" s="9"/>
      <c r="G164" s="9"/>
      <c r="H164" s="9"/>
    </row>
    <row r="165">
      <c r="C165" s="9"/>
      <c r="G165" s="9"/>
      <c r="H165" s="9"/>
    </row>
    <row r="166">
      <c r="C166" s="9"/>
      <c r="G166" s="9"/>
      <c r="H166" s="9"/>
    </row>
    <row r="167">
      <c r="C167" s="9"/>
      <c r="G167" s="9"/>
      <c r="H167" s="9"/>
    </row>
    <row r="168">
      <c r="C168" s="9"/>
      <c r="G168" s="9"/>
      <c r="H168" s="9"/>
    </row>
    <row r="169">
      <c r="C169" s="9"/>
      <c r="G169" s="9"/>
      <c r="H169" s="9"/>
    </row>
    <row r="170">
      <c r="C170" s="9"/>
      <c r="G170" s="9"/>
      <c r="H170" s="9"/>
    </row>
    <row r="171">
      <c r="C171" s="9"/>
      <c r="G171" s="9"/>
      <c r="H171" s="9"/>
    </row>
    <row r="172">
      <c r="C172" s="9"/>
      <c r="G172" s="9"/>
      <c r="H172" s="9"/>
    </row>
    <row r="173">
      <c r="C173" s="9"/>
      <c r="G173" s="9"/>
      <c r="H173" s="9"/>
    </row>
    <row r="174">
      <c r="C174" s="9"/>
      <c r="G174" s="9"/>
      <c r="H174" s="9"/>
    </row>
    <row r="175">
      <c r="C175" s="9"/>
      <c r="G175" s="9"/>
      <c r="H175" s="9"/>
    </row>
    <row r="176">
      <c r="C176" s="9"/>
      <c r="G176" s="9"/>
      <c r="H176" s="9"/>
    </row>
    <row r="177">
      <c r="C177" s="9"/>
      <c r="G177" s="9"/>
      <c r="H177" s="9"/>
    </row>
    <row r="178">
      <c r="C178" s="9"/>
      <c r="G178" s="9"/>
      <c r="H178" s="9"/>
    </row>
    <row r="179">
      <c r="C179" s="9"/>
      <c r="G179" s="9"/>
      <c r="H179" s="9"/>
    </row>
    <row r="180">
      <c r="C180" s="9"/>
      <c r="G180" s="9"/>
      <c r="H180" s="9"/>
    </row>
    <row r="181">
      <c r="C181" s="9"/>
      <c r="G181" s="9"/>
      <c r="H181" s="9"/>
    </row>
    <row r="182">
      <c r="C182" s="9"/>
      <c r="G182" s="9"/>
      <c r="H182" s="9"/>
    </row>
    <row r="183">
      <c r="C183" s="9"/>
      <c r="G183" s="9"/>
      <c r="H183" s="9"/>
    </row>
    <row r="184">
      <c r="C184" s="9"/>
      <c r="G184" s="9"/>
      <c r="H184" s="9"/>
    </row>
    <row r="185">
      <c r="C185" s="9"/>
      <c r="G185" s="9"/>
      <c r="H185" s="9"/>
    </row>
    <row r="186">
      <c r="C186" s="9"/>
      <c r="G186" s="9"/>
      <c r="H186" s="9"/>
    </row>
    <row r="187">
      <c r="C187" s="9"/>
      <c r="G187" s="9"/>
      <c r="H187" s="9"/>
    </row>
    <row r="188">
      <c r="C188" s="9"/>
      <c r="G188" s="9"/>
      <c r="H188" s="9"/>
    </row>
    <row r="189">
      <c r="C189" s="9"/>
      <c r="G189" s="9"/>
      <c r="H189" s="9"/>
    </row>
    <row r="190">
      <c r="C190" s="9"/>
      <c r="G190" s="9"/>
      <c r="H190" s="9"/>
    </row>
    <row r="191">
      <c r="C191" s="9"/>
      <c r="G191" s="9"/>
      <c r="H191" s="9"/>
    </row>
    <row r="192">
      <c r="C192" s="9"/>
      <c r="G192" s="9"/>
      <c r="H192" s="9"/>
    </row>
    <row r="193">
      <c r="C193" s="9"/>
      <c r="G193" s="9"/>
      <c r="H193" s="9"/>
    </row>
    <row r="194">
      <c r="C194" s="9"/>
      <c r="G194" s="9"/>
      <c r="H194" s="9"/>
    </row>
    <row r="195">
      <c r="C195" s="9"/>
      <c r="G195" s="9"/>
      <c r="H195" s="9"/>
    </row>
    <row r="196">
      <c r="C196" s="9"/>
      <c r="G196" s="9"/>
      <c r="H196" s="9"/>
    </row>
    <row r="197">
      <c r="C197" s="9"/>
      <c r="G197" s="9"/>
      <c r="H197" s="9"/>
    </row>
    <row r="198">
      <c r="C198" s="9"/>
      <c r="G198" s="9"/>
      <c r="H198" s="9"/>
    </row>
    <row r="199">
      <c r="C199" s="9"/>
      <c r="G199" s="9"/>
      <c r="H199" s="9"/>
    </row>
    <row r="200">
      <c r="C200" s="9"/>
      <c r="G200" s="9"/>
      <c r="H200" s="9"/>
    </row>
    <row r="201">
      <c r="C201" s="9"/>
      <c r="G201" s="9"/>
      <c r="H201" s="9"/>
    </row>
    <row r="202">
      <c r="C202" s="9"/>
      <c r="G202" s="9"/>
      <c r="H202" s="9"/>
    </row>
    <row r="203">
      <c r="C203" s="9"/>
      <c r="G203" s="9"/>
      <c r="H203" s="9"/>
    </row>
    <row r="204">
      <c r="C204" s="9"/>
      <c r="G204" s="9"/>
      <c r="H204" s="9"/>
    </row>
    <row r="205">
      <c r="C205" s="9"/>
      <c r="G205" s="9"/>
      <c r="H205" s="9"/>
    </row>
    <row r="206">
      <c r="C206" s="9"/>
      <c r="G206" s="9"/>
      <c r="H206" s="9"/>
    </row>
    <row r="207">
      <c r="C207" s="9"/>
      <c r="G207" s="9"/>
      <c r="H207" s="9"/>
    </row>
    <row r="208">
      <c r="C208" s="9"/>
      <c r="G208" s="9"/>
      <c r="H208" s="9"/>
    </row>
    <row r="209">
      <c r="C209" s="9"/>
      <c r="G209" s="9"/>
      <c r="H209" s="9"/>
    </row>
    <row r="210">
      <c r="C210" s="9"/>
      <c r="G210" s="9"/>
      <c r="H210" s="9"/>
    </row>
    <row r="211">
      <c r="C211" s="9"/>
      <c r="G211" s="9"/>
      <c r="H211" s="9"/>
    </row>
    <row r="212">
      <c r="C212" s="9"/>
      <c r="G212" s="9"/>
      <c r="H212" s="9"/>
    </row>
    <row r="213">
      <c r="C213" s="9"/>
      <c r="G213" s="9"/>
      <c r="H213" s="9"/>
    </row>
    <row r="214">
      <c r="C214" s="9"/>
      <c r="G214" s="9"/>
      <c r="H214" s="9"/>
    </row>
    <row r="215">
      <c r="C215" s="9"/>
      <c r="G215" s="9"/>
      <c r="H215" s="9"/>
    </row>
    <row r="216">
      <c r="C216" s="9"/>
      <c r="G216" s="9"/>
      <c r="H216" s="9"/>
    </row>
    <row r="217">
      <c r="C217" s="9"/>
      <c r="G217" s="9"/>
      <c r="H217" s="9"/>
    </row>
    <row r="218">
      <c r="C218" s="9"/>
      <c r="G218" s="9"/>
      <c r="H218" s="9"/>
    </row>
    <row r="219">
      <c r="C219" s="9"/>
      <c r="G219" s="9"/>
      <c r="H219" s="9"/>
    </row>
    <row r="220">
      <c r="C220" s="9"/>
      <c r="G220" s="9"/>
      <c r="H220" s="9"/>
    </row>
    <row r="221">
      <c r="C221" s="9"/>
      <c r="G221" s="9"/>
      <c r="H221" s="9"/>
    </row>
    <row r="222">
      <c r="C222" s="9"/>
      <c r="G222" s="9"/>
      <c r="H222" s="9"/>
    </row>
    <row r="223">
      <c r="C223" s="9"/>
      <c r="G223" s="9"/>
      <c r="H223" s="9"/>
    </row>
    <row r="224">
      <c r="C224" s="9"/>
      <c r="G224" s="9"/>
      <c r="H224" s="9"/>
    </row>
    <row r="225">
      <c r="C225" s="9"/>
      <c r="G225" s="9"/>
      <c r="H225" s="9"/>
    </row>
    <row r="226">
      <c r="C226" s="9"/>
      <c r="G226" s="9"/>
      <c r="H226" s="9"/>
    </row>
    <row r="227">
      <c r="C227" s="9"/>
      <c r="G227" s="9"/>
      <c r="H227" s="9"/>
    </row>
    <row r="228">
      <c r="C228" s="9"/>
      <c r="G228" s="9"/>
      <c r="H228" s="9"/>
    </row>
    <row r="229">
      <c r="C229" s="9"/>
      <c r="G229" s="9"/>
      <c r="H229" s="9"/>
    </row>
    <row r="230">
      <c r="C230" s="9"/>
      <c r="G230" s="9"/>
      <c r="H230" s="9"/>
    </row>
    <row r="231">
      <c r="C231" s="9"/>
      <c r="G231" s="9"/>
      <c r="H231" s="9"/>
    </row>
    <row r="232">
      <c r="C232" s="9"/>
      <c r="G232" s="9"/>
      <c r="H232" s="9"/>
    </row>
    <row r="233">
      <c r="C233" s="9"/>
      <c r="G233" s="9"/>
      <c r="H233" s="9"/>
    </row>
    <row r="234">
      <c r="C234" s="9"/>
      <c r="G234" s="9"/>
      <c r="H234" s="9"/>
    </row>
    <row r="235">
      <c r="C235" s="9"/>
      <c r="G235" s="9"/>
      <c r="H235" s="9"/>
    </row>
    <row r="236">
      <c r="C236" s="9"/>
      <c r="G236" s="9"/>
      <c r="H236" s="9"/>
    </row>
    <row r="237">
      <c r="C237" s="9"/>
      <c r="G237" s="9"/>
      <c r="H237" s="9"/>
    </row>
    <row r="238">
      <c r="C238" s="9"/>
      <c r="G238" s="9"/>
      <c r="H238" s="9"/>
    </row>
    <row r="239">
      <c r="C239" s="9"/>
      <c r="G239" s="9"/>
      <c r="H239" s="9"/>
    </row>
    <row r="240">
      <c r="C240" s="9"/>
      <c r="G240" s="9"/>
      <c r="H240" s="9"/>
    </row>
    <row r="241">
      <c r="C241" s="9"/>
      <c r="G241" s="9"/>
      <c r="H241" s="9"/>
    </row>
    <row r="242">
      <c r="C242" s="9"/>
      <c r="G242" s="9"/>
      <c r="H242" s="9"/>
    </row>
    <row r="243">
      <c r="C243" s="9"/>
      <c r="G243" s="9"/>
      <c r="H243" s="9"/>
    </row>
    <row r="244">
      <c r="C244" s="9"/>
      <c r="G244" s="9"/>
      <c r="H244" s="9"/>
    </row>
    <row r="245">
      <c r="C245" s="9"/>
      <c r="G245" s="9"/>
      <c r="H245" s="9"/>
    </row>
    <row r="246">
      <c r="C246" s="9"/>
      <c r="G246" s="9"/>
      <c r="H246" s="9"/>
    </row>
    <row r="247">
      <c r="C247" s="9"/>
      <c r="G247" s="9"/>
      <c r="H247" s="9"/>
    </row>
    <row r="248">
      <c r="C248" s="9"/>
      <c r="G248" s="9"/>
      <c r="H248" s="9"/>
    </row>
    <row r="249">
      <c r="C249" s="9"/>
      <c r="G249" s="9"/>
      <c r="H249" s="9"/>
    </row>
    <row r="250">
      <c r="C250" s="9"/>
      <c r="G250" s="9"/>
      <c r="H250" s="9"/>
    </row>
    <row r="251">
      <c r="C251" s="9"/>
      <c r="G251" s="9"/>
      <c r="H251" s="9"/>
    </row>
    <row r="252">
      <c r="C252" s="9"/>
      <c r="G252" s="9"/>
      <c r="H252" s="9"/>
    </row>
    <row r="253">
      <c r="C253" s="9"/>
      <c r="G253" s="9"/>
      <c r="H253" s="9"/>
    </row>
    <row r="254">
      <c r="C254" s="9"/>
      <c r="G254" s="9"/>
      <c r="H254" s="9"/>
    </row>
    <row r="255">
      <c r="C255" s="9"/>
      <c r="G255" s="9"/>
      <c r="H255" s="9"/>
    </row>
    <row r="256">
      <c r="C256" s="9"/>
      <c r="G256" s="9"/>
      <c r="H256" s="9"/>
    </row>
    <row r="257">
      <c r="C257" s="9"/>
      <c r="G257" s="9"/>
      <c r="H257" s="9"/>
    </row>
    <row r="258">
      <c r="C258" s="9"/>
      <c r="G258" s="9"/>
      <c r="H258" s="9"/>
    </row>
    <row r="259">
      <c r="C259" s="9"/>
      <c r="G259" s="9"/>
      <c r="H259" s="9"/>
    </row>
    <row r="260">
      <c r="C260" s="9"/>
      <c r="G260" s="9"/>
      <c r="H260" s="9"/>
    </row>
    <row r="261">
      <c r="C261" s="9"/>
      <c r="G261" s="9"/>
      <c r="H261" s="9"/>
    </row>
    <row r="262">
      <c r="C262" s="9"/>
      <c r="G262" s="9"/>
      <c r="H262" s="9"/>
    </row>
    <row r="263">
      <c r="C263" s="9"/>
      <c r="G263" s="9"/>
      <c r="H263" s="9"/>
    </row>
    <row r="264">
      <c r="C264" s="9"/>
      <c r="G264" s="9"/>
      <c r="H264" s="9"/>
    </row>
    <row r="265">
      <c r="C265" s="9"/>
      <c r="G265" s="9"/>
      <c r="H265" s="9"/>
    </row>
    <row r="266">
      <c r="C266" s="9"/>
      <c r="G266" s="9"/>
      <c r="H266" s="9"/>
    </row>
    <row r="267">
      <c r="C267" s="9"/>
      <c r="G267" s="9"/>
      <c r="H267" s="9"/>
    </row>
    <row r="268">
      <c r="C268" s="9"/>
      <c r="G268" s="9"/>
      <c r="H268" s="9"/>
    </row>
    <row r="269">
      <c r="C269" s="9"/>
      <c r="G269" s="9"/>
      <c r="H269" s="9"/>
    </row>
    <row r="270">
      <c r="C270" s="9"/>
      <c r="G270" s="9"/>
      <c r="H270" s="9"/>
    </row>
    <row r="271">
      <c r="C271" s="9"/>
      <c r="G271" s="9"/>
      <c r="H271" s="9"/>
    </row>
    <row r="272">
      <c r="C272" s="9"/>
      <c r="G272" s="9"/>
      <c r="H272" s="9"/>
    </row>
    <row r="273">
      <c r="C273" s="9"/>
      <c r="G273" s="9"/>
      <c r="H273" s="9"/>
    </row>
    <row r="274">
      <c r="C274" s="9"/>
      <c r="G274" s="9"/>
      <c r="H274" s="9"/>
    </row>
    <row r="275">
      <c r="C275" s="9"/>
      <c r="G275" s="9"/>
      <c r="H275" s="9"/>
    </row>
    <row r="276">
      <c r="C276" s="9"/>
      <c r="G276" s="9"/>
      <c r="H276" s="9"/>
    </row>
    <row r="277">
      <c r="C277" s="9"/>
      <c r="G277" s="9"/>
      <c r="H277" s="9"/>
    </row>
    <row r="278">
      <c r="C278" s="9"/>
      <c r="G278" s="9"/>
      <c r="H278" s="9"/>
    </row>
    <row r="279">
      <c r="C279" s="9"/>
      <c r="G279" s="9"/>
      <c r="H279" s="9"/>
    </row>
    <row r="280">
      <c r="C280" s="9"/>
      <c r="G280" s="9"/>
      <c r="H280" s="9"/>
    </row>
    <row r="281">
      <c r="C281" s="9"/>
      <c r="G281" s="9"/>
      <c r="H281" s="9"/>
    </row>
    <row r="282">
      <c r="C282" s="9"/>
      <c r="G282" s="9"/>
      <c r="H282" s="9"/>
    </row>
    <row r="283">
      <c r="C283" s="9"/>
      <c r="G283" s="9"/>
      <c r="H283" s="9"/>
    </row>
    <row r="284">
      <c r="C284" s="9"/>
      <c r="G284" s="9"/>
      <c r="H284" s="9"/>
    </row>
    <row r="285">
      <c r="C285" s="9"/>
      <c r="G285" s="9"/>
      <c r="H285" s="9"/>
    </row>
    <row r="286">
      <c r="C286" s="9"/>
      <c r="G286" s="9"/>
      <c r="H286" s="9"/>
    </row>
    <row r="287">
      <c r="C287" s="9"/>
      <c r="G287" s="9"/>
      <c r="H287" s="9"/>
    </row>
    <row r="288">
      <c r="C288" s="9"/>
      <c r="G288" s="9"/>
      <c r="H288" s="9"/>
    </row>
    <row r="289">
      <c r="C289" s="9"/>
      <c r="G289" s="9"/>
      <c r="H289" s="9"/>
    </row>
    <row r="290">
      <c r="C290" s="9"/>
      <c r="G290" s="9"/>
      <c r="H290" s="9"/>
    </row>
    <row r="291">
      <c r="C291" s="9"/>
      <c r="G291" s="9"/>
      <c r="H291" s="9"/>
    </row>
    <row r="292">
      <c r="C292" s="9"/>
      <c r="G292" s="9"/>
      <c r="H292" s="9"/>
    </row>
    <row r="293">
      <c r="C293" s="9"/>
      <c r="G293" s="9"/>
      <c r="H293" s="9"/>
    </row>
    <row r="294">
      <c r="C294" s="9"/>
      <c r="G294" s="9"/>
      <c r="H294" s="9"/>
    </row>
    <row r="295">
      <c r="C295" s="9"/>
      <c r="G295" s="9"/>
      <c r="H295" s="9"/>
    </row>
    <row r="296">
      <c r="C296" s="9"/>
      <c r="G296" s="9"/>
      <c r="H296" s="9"/>
    </row>
    <row r="297">
      <c r="C297" s="9"/>
      <c r="G297" s="9"/>
      <c r="H297" s="9"/>
    </row>
    <row r="298">
      <c r="C298" s="9"/>
      <c r="G298" s="9"/>
      <c r="H298" s="9"/>
    </row>
    <row r="299">
      <c r="C299" s="9"/>
      <c r="G299" s="9"/>
      <c r="H299" s="9"/>
    </row>
    <row r="300">
      <c r="C300" s="9"/>
      <c r="G300" s="9"/>
      <c r="H300" s="9"/>
    </row>
    <row r="301">
      <c r="C301" s="9"/>
      <c r="G301" s="9"/>
      <c r="H301" s="9"/>
    </row>
    <row r="302">
      <c r="C302" s="9"/>
      <c r="G302" s="9"/>
      <c r="H302" s="9"/>
    </row>
    <row r="303">
      <c r="C303" s="9"/>
      <c r="G303" s="9"/>
      <c r="H303" s="9"/>
    </row>
    <row r="304">
      <c r="C304" s="9"/>
      <c r="G304" s="9"/>
      <c r="H304" s="9"/>
    </row>
    <row r="305">
      <c r="C305" s="9"/>
      <c r="G305" s="9"/>
      <c r="H305" s="9"/>
    </row>
    <row r="306">
      <c r="C306" s="9"/>
      <c r="G306" s="9"/>
      <c r="H306" s="9"/>
    </row>
    <row r="307">
      <c r="C307" s="9"/>
      <c r="G307" s="9"/>
      <c r="H307" s="9"/>
    </row>
    <row r="308">
      <c r="C308" s="9"/>
      <c r="G308" s="9"/>
      <c r="H308" s="9"/>
    </row>
    <row r="309">
      <c r="C309" s="9"/>
      <c r="G309" s="9"/>
      <c r="H309" s="9"/>
    </row>
    <row r="310">
      <c r="C310" s="9"/>
      <c r="G310" s="9"/>
      <c r="H310" s="9"/>
    </row>
    <row r="311">
      <c r="C311" s="9"/>
      <c r="G311" s="9"/>
      <c r="H311" s="9"/>
    </row>
    <row r="312">
      <c r="C312" s="9"/>
      <c r="G312" s="9"/>
      <c r="H312" s="9"/>
    </row>
    <row r="313">
      <c r="C313" s="9"/>
      <c r="G313" s="9"/>
      <c r="H313" s="9"/>
    </row>
    <row r="314">
      <c r="C314" s="9"/>
      <c r="G314" s="9"/>
      <c r="H314" s="9"/>
    </row>
    <row r="315">
      <c r="C315" s="9"/>
      <c r="G315" s="9"/>
      <c r="H315" s="9"/>
    </row>
    <row r="316">
      <c r="C316" s="9"/>
      <c r="G316" s="9"/>
      <c r="H316" s="9"/>
    </row>
    <row r="317">
      <c r="C317" s="9"/>
      <c r="G317" s="9"/>
      <c r="H317" s="9"/>
    </row>
    <row r="318">
      <c r="C318" s="9"/>
      <c r="G318" s="9"/>
      <c r="H318" s="9"/>
    </row>
    <row r="319">
      <c r="C319" s="9"/>
      <c r="G319" s="9"/>
      <c r="H319" s="9"/>
    </row>
    <row r="320">
      <c r="C320" s="9"/>
      <c r="G320" s="9"/>
      <c r="H320" s="9"/>
    </row>
    <row r="321">
      <c r="C321" s="9"/>
      <c r="G321" s="9"/>
      <c r="H321" s="9"/>
    </row>
    <row r="322">
      <c r="C322" s="9"/>
      <c r="G322" s="9"/>
      <c r="H322" s="9"/>
    </row>
    <row r="323">
      <c r="C323" s="9"/>
      <c r="G323" s="9"/>
      <c r="H323" s="9"/>
    </row>
    <row r="324">
      <c r="C324" s="9"/>
      <c r="G324" s="9"/>
      <c r="H324" s="9"/>
    </row>
    <row r="325">
      <c r="C325" s="9"/>
      <c r="G325" s="9"/>
      <c r="H325" s="9"/>
    </row>
    <row r="326">
      <c r="C326" s="9"/>
      <c r="G326" s="9"/>
      <c r="H326" s="9"/>
    </row>
    <row r="327">
      <c r="C327" s="9"/>
      <c r="G327" s="9"/>
      <c r="H327" s="9"/>
    </row>
    <row r="328">
      <c r="C328" s="9"/>
      <c r="G328" s="9"/>
      <c r="H328" s="9"/>
    </row>
    <row r="329">
      <c r="C329" s="9"/>
      <c r="G329" s="9"/>
      <c r="H329" s="9"/>
    </row>
    <row r="330">
      <c r="C330" s="9"/>
      <c r="G330" s="9"/>
      <c r="H330" s="9"/>
    </row>
    <row r="331">
      <c r="C331" s="9"/>
      <c r="G331" s="9"/>
      <c r="H331" s="9"/>
    </row>
    <row r="332">
      <c r="C332" s="9"/>
      <c r="G332" s="9"/>
      <c r="H332" s="9"/>
    </row>
    <row r="333">
      <c r="C333" s="9"/>
      <c r="G333" s="9"/>
      <c r="H333" s="9"/>
    </row>
    <row r="334">
      <c r="C334" s="9"/>
      <c r="G334" s="9"/>
      <c r="H334" s="9"/>
    </row>
    <row r="335">
      <c r="C335" s="9"/>
      <c r="G335" s="9"/>
      <c r="H335" s="9"/>
    </row>
    <row r="336">
      <c r="C336" s="9"/>
      <c r="G336" s="9"/>
      <c r="H336" s="9"/>
    </row>
    <row r="337">
      <c r="C337" s="9"/>
      <c r="G337" s="9"/>
      <c r="H337" s="9"/>
    </row>
    <row r="338">
      <c r="C338" s="9"/>
      <c r="G338" s="9"/>
      <c r="H338" s="9"/>
    </row>
    <row r="339">
      <c r="C339" s="9"/>
      <c r="G339" s="9"/>
      <c r="H339" s="9"/>
    </row>
    <row r="340">
      <c r="C340" s="9"/>
      <c r="G340" s="9"/>
      <c r="H340" s="9"/>
    </row>
    <row r="341">
      <c r="C341" s="9"/>
      <c r="G341" s="9"/>
      <c r="H341" s="9"/>
    </row>
    <row r="342">
      <c r="C342" s="9"/>
      <c r="G342" s="9"/>
      <c r="H342" s="9"/>
    </row>
    <row r="343">
      <c r="C343" s="9"/>
      <c r="G343" s="9"/>
      <c r="H343" s="9"/>
    </row>
    <row r="344">
      <c r="C344" s="9"/>
      <c r="G344" s="9"/>
      <c r="H344" s="9"/>
    </row>
    <row r="345">
      <c r="C345" s="9"/>
      <c r="G345" s="9"/>
      <c r="H345" s="9"/>
    </row>
    <row r="346">
      <c r="C346" s="9"/>
      <c r="G346" s="9"/>
      <c r="H346" s="9"/>
    </row>
    <row r="347">
      <c r="C347" s="9"/>
      <c r="G347" s="9"/>
      <c r="H347" s="9"/>
    </row>
    <row r="348">
      <c r="C348" s="9"/>
      <c r="G348" s="9"/>
      <c r="H348" s="9"/>
    </row>
    <row r="349">
      <c r="C349" s="9"/>
      <c r="G349" s="9"/>
      <c r="H349" s="9"/>
    </row>
    <row r="350">
      <c r="C350" s="9"/>
      <c r="G350" s="9"/>
      <c r="H350" s="9"/>
    </row>
    <row r="351">
      <c r="C351" s="9"/>
      <c r="G351" s="9"/>
      <c r="H351" s="9"/>
    </row>
    <row r="352">
      <c r="C352" s="9"/>
      <c r="G352" s="9"/>
      <c r="H352" s="9"/>
    </row>
    <row r="353">
      <c r="C353" s="9"/>
      <c r="G353" s="9"/>
      <c r="H353" s="9"/>
    </row>
    <row r="354">
      <c r="C354" s="9"/>
      <c r="G354" s="9"/>
      <c r="H354" s="9"/>
    </row>
    <row r="355">
      <c r="C355" s="9"/>
      <c r="G355" s="9"/>
      <c r="H355" s="9"/>
    </row>
    <row r="356">
      <c r="C356" s="9"/>
      <c r="G356" s="9"/>
      <c r="H356" s="9"/>
    </row>
    <row r="357">
      <c r="C357" s="9"/>
      <c r="G357" s="9"/>
      <c r="H357" s="9"/>
    </row>
    <row r="358">
      <c r="C358" s="9"/>
      <c r="G358" s="9"/>
      <c r="H358" s="9"/>
    </row>
    <row r="359">
      <c r="C359" s="9"/>
      <c r="G359" s="9"/>
      <c r="H359" s="9"/>
    </row>
    <row r="360">
      <c r="C360" s="9"/>
      <c r="G360" s="9"/>
      <c r="H360" s="9"/>
    </row>
    <row r="361">
      <c r="C361" s="9"/>
      <c r="G361" s="9"/>
      <c r="H361" s="9"/>
    </row>
    <row r="362">
      <c r="C362" s="9"/>
      <c r="G362" s="9"/>
      <c r="H362" s="9"/>
    </row>
    <row r="363">
      <c r="C363" s="9"/>
      <c r="G363" s="9"/>
      <c r="H363" s="9"/>
    </row>
    <row r="364">
      <c r="C364" s="9"/>
      <c r="G364" s="9"/>
      <c r="H364" s="9"/>
    </row>
    <row r="365">
      <c r="C365" s="9"/>
      <c r="G365" s="9"/>
      <c r="H365" s="9"/>
    </row>
    <row r="366">
      <c r="C366" s="9"/>
      <c r="G366" s="9"/>
      <c r="H366" s="9"/>
    </row>
    <row r="367">
      <c r="C367" s="9"/>
      <c r="G367" s="9"/>
      <c r="H367" s="9"/>
    </row>
    <row r="368">
      <c r="C368" s="9"/>
      <c r="G368" s="9"/>
      <c r="H368" s="9"/>
    </row>
    <row r="369">
      <c r="C369" s="9"/>
      <c r="G369" s="9"/>
      <c r="H369" s="9"/>
    </row>
    <row r="370">
      <c r="C370" s="9"/>
      <c r="G370" s="9"/>
      <c r="H370" s="9"/>
    </row>
    <row r="371">
      <c r="C371" s="9"/>
      <c r="G371" s="9"/>
      <c r="H371" s="9"/>
    </row>
    <row r="372">
      <c r="C372" s="9"/>
      <c r="G372" s="9"/>
      <c r="H372" s="9"/>
    </row>
    <row r="373">
      <c r="C373" s="9"/>
      <c r="G373" s="9"/>
      <c r="H373" s="9"/>
    </row>
    <row r="374">
      <c r="C374" s="9"/>
      <c r="G374" s="9"/>
      <c r="H374" s="9"/>
    </row>
    <row r="375">
      <c r="C375" s="9"/>
      <c r="G375" s="9"/>
      <c r="H375" s="9"/>
    </row>
    <row r="376">
      <c r="C376" s="9"/>
      <c r="G376" s="9"/>
      <c r="H376" s="9"/>
    </row>
    <row r="377">
      <c r="C377" s="9"/>
      <c r="G377" s="9"/>
      <c r="H377" s="9"/>
    </row>
    <row r="378">
      <c r="C378" s="9"/>
      <c r="G378" s="9"/>
      <c r="H378" s="9"/>
    </row>
    <row r="379">
      <c r="C379" s="9"/>
      <c r="G379" s="9"/>
      <c r="H379" s="9"/>
    </row>
    <row r="380">
      <c r="C380" s="9"/>
      <c r="G380" s="9"/>
      <c r="H380" s="9"/>
    </row>
    <row r="381">
      <c r="C381" s="9"/>
      <c r="G381" s="9"/>
      <c r="H381" s="9"/>
    </row>
    <row r="382">
      <c r="C382" s="9"/>
      <c r="G382" s="9"/>
      <c r="H382" s="9"/>
    </row>
    <row r="383">
      <c r="C383" s="9"/>
      <c r="G383" s="9"/>
      <c r="H383" s="9"/>
    </row>
    <row r="384">
      <c r="C384" s="9"/>
      <c r="G384" s="9"/>
      <c r="H384" s="9"/>
    </row>
    <row r="385">
      <c r="C385" s="9"/>
      <c r="G385" s="9"/>
      <c r="H385" s="9"/>
    </row>
    <row r="386">
      <c r="C386" s="9"/>
      <c r="G386" s="9"/>
      <c r="H386" s="9"/>
    </row>
    <row r="387">
      <c r="C387" s="9"/>
      <c r="G387" s="9"/>
      <c r="H387" s="9"/>
    </row>
    <row r="388">
      <c r="C388" s="9"/>
      <c r="G388" s="9"/>
      <c r="H388" s="9"/>
    </row>
    <row r="389">
      <c r="C389" s="9"/>
      <c r="G389" s="9"/>
      <c r="H389" s="9"/>
    </row>
    <row r="390">
      <c r="C390" s="9"/>
      <c r="G390" s="9"/>
      <c r="H390" s="9"/>
    </row>
    <row r="391">
      <c r="C391" s="9"/>
      <c r="G391" s="9"/>
      <c r="H391" s="9"/>
    </row>
    <row r="392">
      <c r="C392" s="9"/>
      <c r="G392" s="9"/>
      <c r="H392" s="9"/>
    </row>
    <row r="393">
      <c r="C393" s="9"/>
      <c r="G393" s="9"/>
      <c r="H393" s="9"/>
    </row>
    <row r="394">
      <c r="C394" s="9"/>
      <c r="G394" s="9"/>
      <c r="H394" s="9"/>
    </row>
    <row r="395">
      <c r="C395" s="9"/>
      <c r="G395" s="9"/>
      <c r="H395" s="9"/>
    </row>
    <row r="396">
      <c r="C396" s="9"/>
      <c r="G396" s="9"/>
      <c r="H396" s="9"/>
    </row>
    <row r="397">
      <c r="C397" s="9"/>
      <c r="G397" s="9"/>
      <c r="H397" s="9"/>
    </row>
    <row r="398">
      <c r="C398" s="9"/>
      <c r="G398" s="9"/>
      <c r="H398" s="9"/>
    </row>
    <row r="399">
      <c r="C399" s="9"/>
      <c r="G399" s="9"/>
      <c r="H399" s="9"/>
    </row>
    <row r="400">
      <c r="C400" s="9"/>
      <c r="G400" s="9"/>
      <c r="H400" s="9"/>
    </row>
    <row r="401">
      <c r="C401" s="9"/>
      <c r="G401" s="9"/>
      <c r="H401" s="9"/>
    </row>
    <row r="402">
      <c r="C402" s="9"/>
      <c r="G402" s="9"/>
      <c r="H402" s="9"/>
    </row>
    <row r="403">
      <c r="C403" s="9"/>
      <c r="G403" s="9"/>
      <c r="H403" s="9"/>
    </row>
    <row r="404">
      <c r="C404" s="9"/>
      <c r="G404" s="9"/>
      <c r="H404" s="9"/>
    </row>
    <row r="405">
      <c r="C405" s="9"/>
      <c r="G405" s="9"/>
      <c r="H405" s="9"/>
    </row>
    <row r="406">
      <c r="C406" s="9"/>
      <c r="G406" s="9"/>
      <c r="H406" s="9"/>
    </row>
    <row r="407">
      <c r="C407" s="9"/>
      <c r="G407" s="9"/>
      <c r="H407" s="9"/>
    </row>
    <row r="408">
      <c r="C408" s="9"/>
      <c r="G408" s="9"/>
      <c r="H408" s="9"/>
    </row>
    <row r="409">
      <c r="C409" s="9"/>
      <c r="G409" s="9"/>
      <c r="H409" s="9"/>
    </row>
    <row r="410">
      <c r="C410" s="9"/>
      <c r="G410" s="9"/>
      <c r="H410" s="9"/>
    </row>
    <row r="411">
      <c r="C411" s="9"/>
      <c r="G411" s="9"/>
      <c r="H411" s="9"/>
    </row>
    <row r="412">
      <c r="C412" s="9"/>
      <c r="G412" s="9"/>
      <c r="H412" s="9"/>
    </row>
    <row r="413">
      <c r="C413" s="9"/>
      <c r="G413" s="9"/>
      <c r="H413" s="9"/>
    </row>
    <row r="414">
      <c r="C414" s="9"/>
      <c r="G414" s="9"/>
      <c r="H414" s="9"/>
    </row>
    <row r="415">
      <c r="C415" s="9"/>
      <c r="G415" s="9"/>
      <c r="H415" s="9"/>
    </row>
    <row r="416">
      <c r="C416" s="9"/>
      <c r="G416" s="9"/>
      <c r="H416" s="9"/>
    </row>
    <row r="417">
      <c r="C417" s="9"/>
      <c r="G417" s="9"/>
      <c r="H417" s="9"/>
    </row>
    <row r="418">
      <c r="C418" s="9"/>
      <c r="G418" s="9"/>
      <c r="H418" s="9"/>
    </row>
    <row r="419">
      <c r="C419" s="9"/>
      <c r="G419" s="9"/>
      <c r="H419" s="9"/>
    </row>
    <row r="420">
      <c r="C420" s="9"/>
      <c r="G420" s="9"/>
      <c r="H420" s="9"/>
    </row>
    <row r="421">
      <c r="C421" s="9"/>
      <c r="G421" s="9"/>
      <c r="H421" s="9"/>
    </row>
    <row r="422">
      <c r="C422" s="9"/>
      <c r="G422" s="9"/>
      <c r="H422" s="9"/>
    </row>
    <row r="423">
      <c r="C423" s="9"/>
      <c r="G423" s="9"/>
      <c r="H423" s="9"/>
    </row>
    <row r="424">
      <c r="C424" s="9"/>
      <c r="G424" s="9"/>
      <c r="H424" s="9"/>
    </row>
    <row r="425">
      <c r="C425" s="9"/>
      <c r="G425" s="9"/>
      <c r="H425" s="9"/>
    </row>
    <row r="426">
      <c r="C426" s="9"/>
      <c r="G426" s="9"/>
      <c r="H426" s="9"/>
    </row>
    <row r="427">
      <c r="C427" s="9"/>
      <c r="G427" s="9"/>
      <c r="H427" s="9"/>
    </row>
    <row r="428">
      <c r="C428" s="9"/>
      <c r="G428" s="9"/>
      <c r="H428" s="9"/>
    </row>
    <row r="429">
      <c r="C429" s="9"/>
      <c r="G429" s="9"/>
      <c r="H429" s="9"/>
    </row>
    <row r="430">
      <c r="C430" s="9"/>
      <c r="G430" s="9"/>
      <c r="H430" s="9"/>
    </row>
    <row r="431">
      <c r="C431" s="9"/>
      <c r="G431" s="9"/>
      <c r="H431" s="9"/>
    </row>
    <row r="432">
      <c r="C432" s="9"/>
      <c r="G432" s="9"/>
      <c r="H432" s="9"/>
    </row>
    <row r="433">
      <c r="C433" s="9"/>
      <c r="G433" s="9"/>
      <c r="H433" s="9"/>
    </row>
    <row r="434">
      <c r="C434" s="9"/>
      <c r="G434" s="9"/>
      <c r="H434" s="9"/>
    </row>
    <row r="435">
      <c r="C435" s="9"/>
      <c r="G435" s="9"/>
      <c r="H435" s="9"/>
    </row>
    <row r="436">
      <c r="C436" s="9"/>
      <c r="G436" s="9"/>
      <c r="H436" s="9"/>
    </row>
    <row r="437">
      <c r="C437" s="9"/>
      <c r="G437" s="9"/>
      <c r="H437" s="9"/>
    </row>
    <row r="438">
      <c r="C438" s="9"/>
      <c r="G438" s="9"/>
      <c r="H438" s="9"/>
    </row>
    <row r="439">
      <c r="C439" s="9"/>
      <c r="G439" s="9"/>
      <c r="H439" s="9"/>
    </row>
    <row r="440">
      <c r="C440" s="9"/>
      <c r="G440" s="9"/>
      <c r="H440" s="9"/>
    </row>
    <row r="441">
      <c r="C441" s="9"/>
      <c r="G441" s="9"/>
      <c r="H441" s="9"/>
    </row>
    <row r="442">
      <c r="C442" s="9"/>
      <c r="G442" s="9"/>
      <c r="H442" s="9"/>
    </row>
    <row r="443">
      <c r="C443" s="9"/>
      <c r="G443" s="9"/>
      <c r="H443" s="9"/>
    </row>
    <row r="444">
      <c r="C444" s="9"/>
      <c r="G444" s="9"/>
      <c r="H444" s="9"/>
    </row>
    <row r="445">
      <c r="C445" s="9"/>
      <c r="G445" s="9"/>
      <c r="H445" s="9"/>
    </row>
    <row r="446">
      <c r="C446" s="9"/>
      <c r="G446" s="9"/>
      <c r="H446" s="9"/>
    </row>
    <row r="447">
      <c r="C447" s="9"/>
      <c r="G447" s="9"/>
      <c r="H447" s="9"/>
    </row>
    <row r="448">
      <c r="C448" s="9"/>
      <c r="G448" s="9"/>
      <c r="H448" s="9"/>
    </row>
    <row r="449">
      <c r="C449" s="9"/>
      <c r="G449" s="9"/>
      <c r="H449" s="9"/>
    </row>
    <row r="450">
      <c r="C450" s="9"/>
      <c r="G450" s="9"/>
      <c r="H450" s="9"/>
    </row>
    <row r="451">
      <c r="C451" s="9"/>
      <c r="G451" s="9"/>
      <c r="H451" s="9"/>
    </row>
    <row r="452">
      <c r="C452" s="9"/>
      <c r="G452" s="9"/>
      <c r="H452" s="9"/>
    </row>
    <row r="453">
      <c r="C453" s="9"/>
      <c r="G453" s="9"/>
      <c r="H453" s="9"/>
    </row>
    <row r="454">
      <c r="C454" s="9"/>
      <c r="G454" s="9"/>
      <c r="H454" s="9"/>
    </row>
    <row r="455">
      <c r="C455" s="9"/>
      <c r="G455" s="9"/>
      <c r="H455" s="9"/>
    </row>
    <row r="456">
      <c r="C456" s="9"/>
      <c r="G456" s="9"/>
      <c r="H456" s="9"/>
    </row>
    <row r="457">
      <c r="C457" s="9"/>
      <c r="G457" s="9"/>
      <c r="H457" s="9"/>
    </row>
    <row r="458">
      <c r="C458" s="9"/>
      <c r="G458" s="9"/>
      <c r="H458" s="9"/>
    </row>
    <row r="459">
      <c r="C459" s="9"/>
      <c r="G459" s="9"/>
      <c r="H459" s="9"/>
    </row>
    <row r="460">
      <c r="C460" s="9"/>
      <c r="G460" s="9"/>
      <c r="H460" s="9"/>
    </row>
    <row r="461">
      <c r="C461" s="9"/>
      <c r="G461" s="9"/>
      <c r="H461" s="9"/>
    </row>
    <row r="462">
      <c r="C462" s="9"/>
      <c r="G462" s="9"/>
      <c r="H462" s="9"/>
    </row>
    <row r="463">
      <c r="C463" s="9"/>
      <c r="G463" s="9"/>
      <c r="H463" s="9"/>
    </row>
    <row r="464">
      <c r="C464" s="9"/>
      <c r="G464" s="9"/>
      <c r="H464" s="9"/>
    </row>
    <row r="465">
      <c r="C465" s="9"/>
      <c r="G465" s="9"/>
      <c r="H465" s="9"/>
    </row>
    <row r="466">
      <c r="C466" s="9"/>
      <c r="G466" s="9"/>
      <c r="H466" s="9"/>
    </row>
    <row r="467">
      <c r="C467" s="9"/>
      <c r="G467" s="9"/>
      <c r="H467" s="9"/>
    </row>
    <row r="468">
      <c r="C468" s="9"/>
      <c r="G468" s="9"/>
      <c r="H468" s="9"/>
    </row>
    <row r="469">
      <c r="C469" s="9"/>
      <c r="G469" s="9"/>
      <c r="H469" s="9"/>
    </row>
    <row r="470">
      <c r="C470" s="9"/>
      <c r="G470" s="9"/>
      <c r="H470" s="9"/>
    </row>
    <row r="471">
      <c r="C471" s="9"/>
      <c r="G471" s="9"/>
      <c r="H471" s="9"/>
    </row>
    <row r="472">
      <c r="C472" s="9"/>
      <c r="G472" s="9"/>
      <c r="H472" s="9"/>
    </row>
    <row r="473">
      <c r="C473" s="9"/>
      <c r="G473" s="9"/>
      <c r="H473" s="9"/>
    </row>
    <row r="474">
      <c r="C474" s="9"/>
      <c r="G474" s="9"/>
      <c r="H474" s="9"/>
    </row>
    <row r="475">
      <c r="C475" s="9"/>
      <c r="G475" s="9"/>
      <c r="H475" s="9"/>
    </row>
    <row r="476">
      <c r="C476" s="9"/>
      <c r="G476" s="9"/>
      <c r="H476" s="9"/>
    </row>
    <row r="477">
      <c r="C477" s="9"/>
      <c r="G477" s="9"/>
      <c r="H477" s="9"/>
    </row>
    <row r="478">
      <c r="C478" s="9"/>
      <c r="G478" s="9"/>
      <c r="H478" s="9"/>
    </row>
    <row r="479">
      <c r="C479" s="9"/>
      <c r="G479" s="9"/>
      <c r="H479" s="9"/>
    </row>
    <row r="480">
      <c r="C480" s="9"/>
      <c r="G480" s="9"/>
      <c r="H480" s="9"/>
    </row>
    <row r="481">
      <c r="C481" s="9"/>
      <c r="G481" s="9"/>
      <c r="H481" s="9"/>
    </row>
    <row r="482">
      <c r="C482" s="9"/>
      <c r="G482" s="9"/>
      <c r="H482" s="9"/>
    </row>
    <row r="483">
      <c r="C483" s="9"/>
      <c r="G483" s="9"/>
      <c r="H483" s="9"/>
    </row>
    <row r="484">
      <c r="C484" s="9"/>
      <c r="G484" s="9"/>
      <c r="H484" s="9"/>
    </row>
    <row r="485">
      <c r="C485" s="9"/>
      <c r="G485" s="9"/>
      <c r="H485" s="9"/>
    </row>
    <row r="486">
      <c r="C486" s="9"/>
      <c r="G486" s="9"/>
      <c r="H486" s="9"/>
    </row>
    <row r="487">
      <c r="C487" s="9"/>
      <c r="G487" s="9"/>
      <c r="H487" s="9"/>
    </row>
    <row r="488">
      <c r="C488" s="9"/>
      <c r="G488" s="9"/>
      <c r="H488" s="9"/>
    </row>
    <row r="489">
      <c r="C489" s="9"/>
      <c r="G489" s="9"/>
      <c r="H489" s="9"/>
    </row>
    <row r="490">
      <c r="C490" s="9"/>
      <c r="G490" s="9"/>
      <c r="H490" s="9"/>
    </row>
    <row r="491">
      <c r="C491" s="9"/>
      <c r="G491" s="9"/>
      <c r="H491" s="9"/>
    </row>
    <row r="492">
      <c r="C492" s="9"/>
      <c r="G492" s="9"/>
      <c r="H492" s="9"/>
    </row>
    <row r="493">
      <c r="C493" s="9"/>
      <c r="G493" s="9"/>
      <c r="H493" s="9"/>
    </row>
    <row r="494">
      <c r="C494" s="9"/>
      <c r="G494" s="9"/>
      <c r="H494" s="9"/>
    </row>
    <row r="495">
      <c r="C495" s="9"/>
      <c r="G495" s="9"/>
      <c r="H495" s="9"/>
    </row>
    <row r="496">
      <c r="C496" s="9"/>
      <c r="G496" s="9"/>
      <c r="H496" s="9"/>
    </row>
    <row r="497">
      <c r="C497" s="9"/>
      <c r="G497" s="9"/>
      <c r="H497" s="9"/>
    </row>
    <row r="498">
      <c r="C498" s="9"/>
      <c r="G498" s="9"/>
      <c r="H498" s="9"/>
    </row>
    <row r="499">
      <c r="C499" s="9"/>
      <c r="G499" s="9"/>
      <c r="H499" s="9"/>
    </row>
    <row r="500">
      <c r="C500" s="9"/>
      <c r="G500" s="9"/>
      <c r="H500" s="9"/>
    </row>
    <row r="501">
      <c r="C501" s="9"/>
      <c r="G501" s="9"/>
      <c r="H501" s="9"/>
    </row>
    <row r="502">
      <c r="C502" s="9"/>
      <c r="G502" s="9"/>
      <c r="H502" s="9"/>
    </row>
    <row r="503">
      <c r="C503" s="9"/>
      <c r="G503" s="9"/>
      <c r="H503" s="9"/>
    </row>
    <row r="504">
      <c r="C504" s="9"/>
      <c r="G504" s="9"/>
      <c r="H504" s="9"/>
    </row>
    <row r="505">
      <c r="C505" s="9"/>
      <c r="G505" s="9"/>
      <c r="H505" s="9"/>
    </row>
    <row r="506">
      <c r="C506" s="9"/>
      <c r="G506" s="9"/>
      <c r="H506" s="9"/>
    </row>
    <row r="507">
      <c r="C507" s="9"/>
      <c r="G507" s="9"/>
      <c r="H507" s="9"/>
    </row>
    <row r="508">
      <c r="C508" s="9"/>
      <c r="G508" s="9"/>
      <c r="H508" s="9"/>
    </row>
    <row r="509">
      <c r="C509" s="9"/>
      <c r="G509" s="9"/>
      <c r="H509" s="9"/>
    </row>
    <row r="510">
      <c r="C510" s="9"/>
      <c r="G510" s="9"/>
      <c r="H510" s="9"/>
    </row>
    <row r="511">
      <c r="C511" s="9"/>
      <c r="G511" s="9"/>
      <c r="H511" s="9"/>
    </row>
    <row r="512">
      <c r="C512" s="9"/>
      <c r="G512" s="9"/>
      <c r="H512" s="9"/>
    </row>
    <row r="513">
      <c r="C513" s="9"/>
      <c r="G513" s="9"/>
      <c r="H513" s="9"/>
    </row>
    <row r="514">
      <c r="C514" s="9"/>
      <c r="G514" s="9"/>
      <c r="H514" s="9"/>
    </row>
    <row r="515">
      <c r="C515" s="9"/>
      <c r="G515" s="9"/>
      <c r="H515" s="9"/>
    </row>
    <row r="516">
      <c r="C516" s="9"/>
      <c r="G516" s="9"/>
      <c r="H516" s="9"/>
    </row>
    <row r="517">
      <c r="C517" s="9"/>
      <c r="G517" s="9"/>
      <c r="H517" s="9"/>
    </row>
    <row r="518">
      <c r="C518" s="9"/>
      <c r="G518" s="9"/>
      <c r="H518" s="9"/>
    </row>
    <row r="519">
      <c r="C519" s="9"/>
      <c r="G519" s="9"/>
      <c r="H519" s="9"/>
    </row>
    <row r="520">
      <c r="C520" s="9"/>
      <c r="G520" s="9"/>
      <c r="H520" s="9"/>
    </row>
    <row r="521">
      <c r="C521" s="9"/>
      <c r="G521" s="9"/>
      <c r="H521" s="9"/>
    </row>
    <row r="522">
      <c r="C522" s="9"/>
      <c r="G522" s="9"/>
      <c r="H522" s="9"/>
    </row>
    <row r="523">
      <c r="C523" s="9"/>
      <c r="G523" s="9"/>
      <c r="H523" s="9"/>
    </row>
    <row r="524">
      <c r="C524" s="9"/>
      <c r="G524" s="9"/>
      <c r="H524" s="9"/>
    </row>
    <row r="525">
      <c r="C525" s="9"/>
      <c r="G525" s="9"/>
      <c r="H525" s="9"/>
    </row>
    <row r="526">
      <c r="C526" s="9"/>
      <c r="G526" s="9"/>
      <c r="H526" s="9"/>
    </row>
    <row r="527">
      <c r="C527" s="9"/>
      <c r="G527" s="9"/>
      <c r="H527" s="9"/>
    </row>
    <row r="528">
      <c r="C528" s="9"/>
      <c r="G528" s="9"/>
      <c r="H528" s="9"/>
    </row>
    <row r="529">
      <c r="C529" s="9"/>
      <c r="G529" s="9"/>
      <c r="H529" s="9"/>
    </row>
    <row r="530">
      <c r="C530" s="9"/>
      <c r="G530" s="9"/>
      <c r="H530" s="9"/>
    </row>
    <row r="531">
      <c r="C531" s="9"/>
      <c r="G531" s="9"/>
      <c r="H531" s="9"/>
    </row>
    <row r="532">
      <c r="C532" s="9"/>
      <c r="G532" s="9"/>
      <c r="H532" s="9"/>
    </row>
    <row r="533">
      <c r="C533" s="9"/>
      <c r="G533" s="9"/>
      <c r="H533" s="9"/>
    </row>
    <row r="534">
      <c r="C534" s="9"/>
      <c r="G534" s="9"/>
      <c r="H534" s="9"/>
    </row>
    <row r="535">
      <c r="C535" s="9"/>
      <c r="G535" s="9"/>
      <c r="H535" s="9"/>
    </row>
    <row r="536">
      <c r="C536" s="9"/>
      <c r="G536" s="9"/>
      <c r="H536" s="9"/>
    </row>
    <row r="537">
      <c r="C537" s="9"/>
      <c r="G537" s="9"/>
      <c r="H537" s="9"/>
    </row>
    <row r="538">
      <c r="C538" s="9"/>
      <c r="G538" s="9"/>
      <c r="H538" s="9"/>
    </row>
    <row r="539">
      <c r="C539" s="9"/>
      <c r="G539" s="9"/>
      <c r="H539" s="9"/>
    </row>
    <row r="540">
      <c r="C540" s="9"/>
      <c r="G540" s="9"/>
      <c r="H540" s="9"/>
    </row>
    <row r="541">
      <c r="C541" s="9"/>
      <c r="G541" s="9"/>
      <c r="H541" s="9"/>
    </row>
    <row r="542">
      <c r="C542" s="9"/>
      <c r="G542" s="9"/>
      <c r="H542" s="9"/>
    </row>
    <row r="543">
      <c r="C543" s="9"/>
      <c r="G543" s="9"/>
      <c r="H543" s="9"/>
    </row>
    <row r="544">
      <c r="C544" s="9"/>
      <c r="G544" s="9"/>
      <c r="H544" s="9"/>
    </row>
    <row r="545">
      <c r="C545" s="9"/>
      <c r="G545" s="9"/>
      <c r="H545" s="9"/>
    </row>
    <row r="546">
      <c r="C546" s="9"/>
      <c r="G546" s="9"/>
      <c r="H546" s="9"/>
    </row>
    <row r="547">
      <c r="C547" s="9"/>
      <c r="G547" s="9"/>
      <c r="H547" s="9"/>
    </row>
    <row r="548">
      <c r="C548" s="9"/>
      <c r="G548" s="9"/>
      <c r="H548" s="9"/>
    </row>
    <row r="549">
      <c r="C549" s="9"/>
      <c r="G549" s="9"/>
      <c r="H549" s="9"/>
    </row>
    <row r="550">
      <c r="C550" s="9"/>
      <c r="G550" s="9"/>
      <c r="H550" s="9"/>
    </row>
    <row r="551">
      <c r="C551" s="9"/>
      <c r="G551" s="9"/>
      <c r="H551" s="9"/>
    </row>
    <row r="552">
      <c r="C552" s="9"/>
      <c r="G552" s="9"/>
      <c r="H552" s="9"/>
    </row>
    <row r="553">
      <c r="C553" s="9"/>
      <c r="G553" s="9"/>
      <c r="H553" s="9"/>
    </row>
    <row r="554">
      <c r="C554" s="9"/>
      <c r="G554" s="9"/>
      <c r="H554" s="9"/>
    </row>
    <row r="555">
      <c r="C555" s="9"/>
      <c r="G555" s="9"/>
      <c r="H555" s="9"/>
    </row>
    <row r="556">
      <c r="C556" s="9"/>
      <c r="G556" s="9"/>
      <c r="H556" s="9"/>
    </row>
    <row r="557">
      <c r="C557" s="9"/>
      <c r="G557" s="9"/>
      <c r="H557" s="9"/>
    </row>
    <row r="558">
      <c r="C558" s="9"/>
      <c r="G558" s="9"/>
      <c r="H558" s="9"/>
    </row>
    <row r="559">
      <c r="C559" s="9"/>
      <c r="G559" s="9"/>
      <c r="H559" s="9"/>
    </row>
    <row r="560">
      <c r="C560" s="9"/>
      <c r="G560" s="9"/>
      <c r="H560" s="9"/>
    </row>
    <row r="561">
      <c r="C561" s="9"/>
      <c r="G561" s="9"/>
      <c r="H561" s="9"/>
    </row>
    <row r="562">
      <c r="C562" s="9"/>
      <c r="G562" s="9"/>
      <c r="H562" s="9"/>
    </row>
    <row r="563">
      <c r="C563" s="9"/>
      <c r="G563" s="9"/>
      <c r="H563" s="9"/>
    </row>
    <row r="564">
      <c r="C564" s="9"/>
      <c r="G564" s="9"/>
      <c r="H564" s="9"/>
    </row>
    <row r="565">
      <c r="C565" s="9"/>
      <c r="G565" s="9"/>
      <c r="H565" s="9"/>
    </row>
    <row r="566">
      <c r="C566" s="9"/>
      <c r="G566" s="9"/>
      <c r="H566" s="9"/>
    </row>
    <row r="567">
      <c r="C567" s="9"/>
      <c r="G567" s="9"/>
      <c r="H567" s="9"/>
    </row>
    <row r="568">
      <c r="C568" s="9"/>
      <c r="G568" s="9"/>
      <c r="H568" s="9"/>
    </row>
    <row r="569">
      <c r="C569" s="9"/>
      <c r="G569" s="9"/>
      <c r="H569" s="9"/>
    </row>
    <row r="570">
      <c r="C570" s="9"/>
      <c r="G570" s="9"/>
      <c r="H570" s="9"/>
    </row>
    <row r="571">
      <c r="C571" s="9"/>
      <c r="G571" s="9"/>
      <c r="H571" s="9"/>
    </row>
    <row r="572">
      <c r="C572" s="9"/>
      <c r="G572" s="9"/>
      <c r="H572" s="9"/>
    </row>
    <row r="573">
      <c r="C573" s="9"/>
      <c r="G573" s="9"/>
      <c r="H573" s="9"/>
    </row>
    <row r="574">
      <c r="C574" s="9"/>
      <c r="G574" s="9"/>
      <c r="H574" s="9"/>
    </row>
    <row r="575">
      <c r="C575" s="9"/>
      <c r="G575" s="9"/>
      <c r="H575" s="9"/>
    </row>
    <row r="576">
      <c r="C576" s="9"/>
      <c r="G576" s="9"/>
      <c r="H576" s="9"/>
    </row>
    <row r="577">
      <c r="C577" s="9"/>
      <c r="G577" s="9"/>
      <c r="H577" s="9"/>
    </row>
    <row r="578">
      <c r="C578" s="9"/>
      <c r="G578" s="9"/>
      <c r="H578" s="9"/>
    </row>
    <row r="579">
      <c r="C579" s="9"/>
      <c r="G579" s="9"/>
      <c r="H579" s="9"/>
    </row>
    <row r="580">
      <c r="C580" s="9"/>
      <c r="G580" s="9"/>
      <c r="H580" s="9"/>
    </row>
    <row r="581">
      <c r="C581" s="9"/>
      <c r="G581" s="9"/>
      <c r="H581" s="9"/>
    </row>
    <row r="582">
      <c r="C582" s="9"/>
      <c r="G582" s="9"/>
      <c r="H582" s="9"/>
    </row>
    <row r="583">
      <c r="C583" s="9"/>
      <c r="G583" s="9"/>
      <c r="H583" s="9"/>
    </row>
    <row r="584">
      <c r="C584" s="9"/>
      <c r="G584" s="9"/>
      <c r="H584" s="9"/>
    </row>
    <row r="585">
      <c r="C585" s="9"/>
      <c r="G585" s="9"/>
      <c r="H585" s="9"/>
    </row>
    <row r="586">
      <c r="C586" s="9"/>
      <c r="G586" s="9"/>
      <c r="H586" s="9"/>
    </row>
    <row r="587">
      <c r="C587" s="9"/>
      <c r="G587" s="9"/>
      <c r="H587" s="9"/>
    </row>
    <row r="588">
      <c r="C588" s="9"/>
      <c r="G588" s="9"/>
      <c r="H588" s="9"/>
    </row>
    <row r="589">
      <c r="C589" s="9"/>
      <c r="G589" s="9"/>
      <c r="H589" s="9"/>
    </row>
    <row r="590">
      <c r="C590" s="9"/>
      <c r="G590" s="9"/>
      <c r="H590" s="9"/>
    </row>
    <row r="591">
      <c r="C591" s="9"/>
      <c r="G591" s="9"/>
      <c r="H591" s="9"/>
    </row>
    <row r="592">
      <c r="C592" s="9"/>
      <c r="G592" s="9"/>
      <c r="H592" s="9"/>
    </row>
    <row r="593">
      <c r="C593" s="9"/>
      <c r="G593" s="9"/>
      <c r="H593" s="9"/>
    </row>
    <row r="594">
      <c r="C594" s="9"/>
      <c r="G594" s="9"/>
      <c r="H594" s="9"/>
    </row>
    <row r="595">
      <c r="C595" s="9"/>
      <c r="G595" s="9"/>
      <c r="H595" s="9"/>
    </row>
    <row r="596">
      <c r="C596" s="9"/>
      <c r="G596" s="9"/>
      <c r="H596" s="9"/>
    </row>
    <row r="597">
      <c r="C597" s="9"/>
      <c r="G597" s="9"/>
      <c r="H597" s="9"/>
    </row>
    <row r="598">
      <c r="C598" s="9"/>
      <c r="G598" s="9"/>
      <c r="H598" s="9"/>
    </row>
    <row r="599">
      <c r="C599" s="9"/>
      <c r="G599" s="9"/>
      <c r="H599" s="9"/>
    </row>
    <row r="600">
      <c r="C600" s="9"/>
      <c r="G600" s="9"/>
      <c r="H600" s="9"/>
    </row>
    <row r="601">
      <c r="C601" s="9"/>
      <c r="G601" s="9"/>
      <c r="H601" s="9"/>
    </row>
    <row r="602">
      <c r="C602" s="9"/>
      <c r="G602" s="9"/>
      <c r="H602" s="9"/>
    </row>
    <row r="603">
      <c r="C603" s="9"/>
      <c r="G603" s="9"/>
      <c r="H603" s="9"/>
    </row>
    <row r="604">
      <c r="C604" s="9"/>
      <c r="G604" s="9"/>
      <c r="H604" s="9"/>
    </row>
    <row r="605">
      <c r="C605" s="9"/>
      <c r="G605" s="9"/>
      <c r="H605" s="9"/>
    </row>
    <row r="606">
      <c r="C606" s="9"/>
      <c r="G606" s="9"/>
      <c r="H606" s="9"/>
    </row>
    <row r="607">
      <c r="C607" s="9"/>
      <c r="G607" s="9"/>
      <c r="H607" s="9"/>
    </row>
    <row r="608">
      <c r="C608" s="9"/>
      <c r="G608" s="9"/>
      <c r="H608" s="9"/>
    </row>
    <row r="609">
      <c r="C609" s="9"/>
      <c r="G609" s="9"/>
      <c r="H609" s="9"/>
    </row>
    <row r="610">
      <c r="C610" s="9"/>
      <c r="G610" s="9"/>
      <c r="H610" s="9"/>
    </row>
    <row r="611">
      <c r="C611" s="9"/>
      <c r="G611" s="9"/>
      <c r="H611" s="9"/>
    </row>
    <row r="612">
      <c r="C612" s="9"/>
      <c r="G612" s="9"/>
      <c r="H612" s="9"/>
    </row>
    <row r="613">
      <c r="C613" s="9"/>
      <c r="G613" s="9"/>
      <c r="H613" s="9"/>
    </row>
    <row r="614">
      <c r="C614" s="9"/>
      <c r="G614" s="9"/>
      <c r="H614" s="9"/>
    </row>
    <row r="615">
      <c r="C615" s="9"/>
      <c r="G615" s="9"/>
      <c r="H615" s="9"/>
    </row>
    <row r="616">
      <c r="C616" s="9"/>
      <c r="G616" s="9"/>
      <c r="H616" s="9"/>
    </row>
    <row r="617">
      <c r="C617" s="9"/>
      <c r="G617" s="9"/>
      <c r="H617" s="9"/>
    </row>
    <row r="618">
      <c r="C618" s="9"/>
      <c r="G618" s="9"/>
      <c r="H618" s="9"/>
    </row>
    <row r="619">
      <c r="C619" s="9"/>
      <c r="G619" s="9"/>
      <c r="H619" s="9"/>
    </row>
    <row r="620">
      <c r="C620" s="9"/>
      <c r="G620" s="9"/>
      <c r="H620" s="9"/>
    </row>
    <row r="621">
      <c r="C621" s="9"/>
      <c r="G621" s="9"/>
      <c r="H621" s="9"/>
    </row>
    <row r="622">
      <c r="C622" s="9"/>
      <c r="G622" s="9"/>
      <c r="H622" s="9"/>
    </row>
    <row r="623">
      <c r="C623" s="9"/>
      <c r="G623" s="9"/>
      <c r="H623" s="9"/>
    </row>
    <row r="624">
      <c r="C624" s="9"/>
      <c r="G624" s="9"/>
      <c r="H624" s="9"/>
    </row>
    <row r="625">
      <c r="C625" s="9"/>
      <c r="G625" s="9"/>
      <c r="H625" s="9"/>
    </row>
    <row r="626">
      <c r="C626" s="9"/>
      <c r="G626" s="9"/>
      <c r="H626" s="9"/>
    </row>
    <row r="627">
      <c r="C627" s="9"/>
      <c r="G627" s="9"/>
      <c r="H627" s="9"/>
    </row>
    <row r="628">
      <c r="C628" s="9"/>
      <c r="G628" s="9"/>
      <c r="H628" s="9"/>
    </row>
    <row r="629">
      <c r="C629" s="9"/>
      <c r="G629" s="9"/>
      <c r="H629" s="9"/>
    </row>
    <row r="630">
      <c r="C630" s="9"/>
      <c r="G630" s="9"/>
      <c r="H630" s="9"/>
    </row>
    <row r="631">
      <c r="C631" s="9"/>
      <c r="G631" s="9"/>
      <c r="H631" s="9"/>
    </row>
    <row r="632">
      <c r="C632" s="9"/>
      <c r="G632" s="9"/>
      <c r="H632" s="9"/>
    </row>
    <row r="633">
      <c r="C633" s="9"/>
      <c r="G633" s="9"/>
      <c r="H633" s="9"/>
    </row>
    <row r="634">
      <c r="C634" s="9"/>
      <c r="G634" s="9"/>
      <c r="H634" s="9"/>
    </row>
    <row r="635">
      <c r="C635" s="9"/>
      <c r="G635" s="9"/>
      <c r="H635" s="9"/>
    </row>
    <row r="636">
      <c r="C636" s="9"/>
      <c r="G636" s="9"/>
      <c r="H636" s="9"/>
    </row>
    <row r="637">
      <c r="C637" s="9"/>
      <c r="G637" s="9"/>
      <c r="H637" s="9"/>
    </row>
    <row r="638">
      <c r="C638" s="9"/>
      <c r="G638" s="9"/>
      <c r="H638" s="9"/>
    </row>
    <row r="639">
      <c r="C639" s="9"/>
      <c r="G639" s="9"/>
      <c r="H639" s="9"/>
    </row>
    <row r="640">
      <c r="C640" s="9"/>
      <c r="G640" s="9"/>
      <c r="H640" s="9"/>
    </row>
    <row r="641">
      <c r="C641" s="9"/>
      <c r="G641" s="9"/>
      <c r="H641" s="9"/>
    </row>
    <row r="642">
      <c r="C642" s="9"/>
      <c r="G642" s="9"/>
      <c r="H642" s="9"/>
    </row>
    <row r="643">
      <c r="C643" s="9"/>
      <c r="G643" s="9"/>
      <c r="H643" s="9"/>
    </row>
    <row r="644">
      <c r="C644" s="9"/>
      <c r="G644" s="9"/>
      <c r="H644" s="9"/>
    </row>
    <row r="645">
      <c r="C645" s="9"/>
      <c r="G645" s="9"/>
      <c r="H645" s="9"/>
    </row>
    <row r="646">
      <c r="C646" s="9"/>
      <c r="G646" s="9"/>
      <c r="H646" s="9"/>
    </row>
    <row r="647">
      <c r="C647" s="9"/>
      <c r="G647" s="9"/>
      <c r="H647" s="9"/>
    </row>
    <row r="648">
      <c r="C648" s="9"/>
      <c r="G648" s="9"/>
      <c r="H648" s="9"/>
    </row>
    <row r="649">
      <c r="C649" s="9"/>
      <c r="G649" s="9"/>
      <c r="H649" s="9"/>
    </row>
    <row r="650">
      <c r="C650" s="9"/>
      <c r="G650" s="9"/>
      <c r="H650" s="9"/>
    </row>
    <row r="651">
      <c r="C651" s="9"/>
      <c r="G651" s="9"/>
      <c r="H651" s="9"/>
    </row>
    <row r="652">
      <c r="C652" s="9"/>
      <c r="G652" s="9"/>
      <c r="H652" s="9"/>
    </row>
    <row r="653">
      <c r="C653" s="9"/>
      <c r="G653" s="9"/>
      <c r="H653" s="9"/>
    </row>
    <row r="654">
      <c r="C654" s="9"/>
      <c r="G654" s="9"/>
      <c r="H654" s="9"/>
    </row>
    <row r="655">
      <c r="C655" s="9"/>
      <c r="G655" s="9"/>
      <c r="H655" s="9"/>
    </row>
    <row r="656">
      <c r="C656" s="9"/>
      <c r="G656" s="9"/>
      <c r="H656" s="9"/>
    </row>
    <row r="657">
      <c r="C657" s="9"/>
      <c r="G657" s="9"/>
      <c r="H657" s="9"/>
    </row>
    <row r="658">
      <c r="C658" s="9"/>
      <c r="G658" s="9"/>
      <c r="H658" s="9"/>
    </row>
    <row r="659">
      <c r="C659" s="9"/>
      <c r="G659" s="9"/>
      <c r="H659" s="9"/>
    </row>
    <row r="660">
      <c r="C660" s="9"/>
      <c r="G660" s="9"/>
      <c r="H660" s="9"/>
    </row>
    <row r="661">
      <c r="C661" s="9"/>
      <c r="G661" s="9"/>
      <c r="H661" s="9"/>
    </row>
    <row r="662">
      <c r="C662" s="9"/>
      <c r="G662" s="9"/>
      <c r="H662" s="9"/>
    </row>
    <row r="663">
      <c r="C663" s="9"/>
      <c r="G663" s="9"/>
      <c r="H663" s="9"/>
    </row>
    <row r="664">
      <c r="C664" s="9"/>
      <c r="G664" s="9"/>
      <c r="H664" s="9"/>
    </row>
    <row r="665">
      <c r="C665" s="9"/>
      <c r="G665" s="9"/>
      <c r="H665" s="9"/>
    </row>
    <row r="666">
      <c r="C666" s="9"/>
      <c r="G666" s="9"/>
      <c r="H666" s="9"/>
    </row>
    <row r="667">
      <c r="C667" s="9"/>
      <c r="G667" s="9"/>
      <c r="H667" s="9"/>
    </row>
    <row r="668">
      <c r="C668" s="9"/>
      <c r="G668" s="9"/>
      <c r="H668" s="9"/>
    </row>
    <row r="669">
      <c r="C669" s="9"/>
      <c r="G669" s="9"/>
      <c r="H669" s="9"/>
    </row>
    <row r="670">
      <c r="C670" s="9"/>
      <c r="G670" s="9"/>
      <c r="H670" s="9"/>
    </row>
    <row r="671">
      <c r="C671" s="9"/>
      <c r="G671" s="9"/>
      <c r="H671" s="9"/>
    </row>
    <row r="672">
      <c r="C672" s="9"/>
      <c r="G672" s="9"/>
      <c r="H672" s="9"/>
    </row>
    <row r="673">
      <c r="C673" s="9"/>
      <c r="G673" s="9"/>
      <c r="H673" s="9"/>
    </row>
    <row r="674">
      <c r="C674" s="9"/>
      <c r="G674" s="9"/>
      <c r="H674" s="9"/>
    </row>
    <row r="675">
      <c r="C675" s="9"/>
      <c r="G675" s="9"/>
      <c r="H675" s="9"/>
    </row>
    <row r="676">
      <c r="C676" s="9"/>
      <c r="G676" s="9"/>
      <c r="H676" s="9"/>
    </row>
    <row r="677">
      <c r="C677" s="9"/>
      <c r="G677" s="9"/>
      <c r="H677" s="9"/>
    </row>
    <row r="678">
      <c r="C678" s="9"/>
      <c r="G678" s="9"/>
      <c r="H678" s="9"/>
    </row>
    <row r="679">
      <c r="C679" s="9"/>
      <c r="G679" s="9"/>
      <c r="H679" s="9"/>
    </row>
    <row r="680">
      <c r="C680" s="9"/>
      <c r="G680" s="9"/>
      <c r="H680" s="9"/>
    </row>
    <row r="681">
      <c r="C681" s="9"/>
      <c r="G681" s="9"/>
      <c r="H681" s="9"/>
    </row>
    <row r="682">
      <c r="C682" s="9"/>
      <c r="G682" s="9"/>
      <c r="H682" s="9"/>
    </row>
    <row r="683">
      <c r="C683" s="9"/>
      <c r="G683" s="9"/>
      <c r="H683" s="9"/>
    </row>
    <row r="684">
      <c r="C684" s="9"/>
      <c r="G684" s="9"/>
      <c r="H684" s="9"/>
    </row>
    <row r="685">
      <c r="C685" s="9"/>
      <c r="G685" s="9"/>
      <c r="H685" s="9"/>
    </row>
    <row r="686">
      <c r="C686" s="9"/>
      <c r="G686" s="9"/>
      <c r="H686" s="9"/>
    </row>
    <row r="687">
      <c r="C687" s="9"/>
      <c r="G687" s="9"/>
      <c r="H687" s="9"/>
    </row>
    <row r="688">
      <c r="C688" s="9"/>
      <c r="G688" s="9"/>
      <c r="H688" s="9"/>
    </row>
    <row r="689">
      <c r="C689" s="9"/>
      <c r="G689" s="9"/>
      <c r="H689" s="9"/>
    </row>
    <row r="690">
      <c r="C690" s="9"/>
      <c r="G690" s="9"/>
      <c r="H690" s="9"/>
    </row>
    <row r="691">
      <c r="C691" s="9"/>
      <c r="G691" s="9"/>
      <c r="H691" s="9"/>
    </row>
    <row r="692">
      <c r="C692" s="9"/>
      <c r="G692" s="9"/>
      <c r="H692" s="9"/>
    </row>
    <row r="693">
      <c r="C693" s="9"/>
      <c r="G693" s="9"/>
      <c r="H693" s="9"/>
    </row>
    <row r="694">
      <c r="C694" s="9"/>
      <c r="G694" s="9"/>
      <c r="H694" s="9"/>
    </row>
    <row r="695">
      <c r="C695" s="9"/>
      <c r="G695" s="9"/>
      <c r="H695" s="9"/>
    </row>
    <row r="696">
      <c r="C696" s="9"/>
      <c r="G696" s="9"/>
      <c r="H696" s="9"/>
    </row>
    <row r="697">
      <c r="C697" s="9"/>
      <c r="G697" s="9"/>
      <c r="H697" s="9"/>
    </row>
    <row r="698">
      <c r="C698" s="9"/>
      <c r="G698" s="9"/>
      <c r="H698" s="9"/>
    </row>
    <row r="699">
      <c r="C699" s="9"/>
      <c r="G699" s="9"/>
      <c r="H699" s="9"/>
    </row>
    <row r="700">
      <c r="C700" s="9"/>
      <c r="G700" s="9"/>
      <c r="H700" s="9"/>
    </row>
    <row r="701">
      <c r="C701" s="9"/>
      <c r="G701" s="9"/>
      <c r="H701" s="9"/>
    </row>
    <row r="702">
      <c r="C702" s="9"/>
      <c r="G702" s="9"/>
      <c r="H702" s="9"/>
    </row>
    <row r="703">
      <c r="C703" s="9"/>
      <c r="G703" s="9"/>
      <c r="H703" s="9"/>
    </row>
    <row r="704">
      <c r="C704" s="9"/>
      <c r="G704" s="9"/>
      <c r="H704" s="9"/>
    </row>
    <row r="705">
      <c r="C705" s="9"/>
      <c r="G705" s="9"/>
      <c r="H705" s="9"/>
    </row>
    <row r="706">
      <c r="C706" s="9"/>
      <c r="G706" s="9"/>
      <c r="H706" s="9"/>
    </row>
    <row r="707">
      <c r="C707" s="9"/>
      <c r="G707" s="9"/>
      <c r="H707" s="9"/>
    </row>
    <row r="708">
      <c r="C708" s="9"/>
      <c r="G708" s="9"/>
      <c r="H708" s="9"/>
    </row>
    <row r="709">
      <c r="C709" s="9"/>
      <c r="G709" s="9"/>
      <c r="H709" s="9"/>
    </row>
    <row r="710">
      <c r="C710" s="9"/>
      <c r="G710" s="9"/>
      <c r="H710" s="9"/>
    </row>
    <row r="711">
      <c r="C711" s="9"/>
      <c r="G711" s="9"/>
      <c r="H711" s="9"/>
    </row>
    <row r="712">
      <c r="C712" s="9"/>
      <c r="G712" s="9"/>
      <c r="H712" s="9"/>
    </row>
    <row r="713">
      <c r="C713" s="9"/>
      <c r="G713" s="9"/>
      <c r="H713" s="9"/>
    </row>
    <row r="714">
      <c r="C714" s="9"/>
      <c r="G714" s="9"/>
      <c r="H714" s="9"/>
    </row>
    <row r="715">
      <c r="C715" s="9"/>
      <c r="G715" s="9"/>
      <c r="H715" s="9"/>
    </row>
    <row r="716">
      <c r="C716" s="9"/>
      <c r="G716" s="9"/>
      <c r="H716" s="9"/>
    </row>
    <row r="717">
      <c r="C717" s="9"/>
      <c r="G717" s="9"/>
      <c r="H717" s="9"/>
    </row>
    <row r="718">
      <c r="C718" s="9"/>
      <c r="G718" s="9"/>
      <c r="H718" s="9"/>
    </row>
    <row r="719">
      <c r="C719" s="9"/>
      <c r="G719" s="9"/>
      <c r="H719" s="9"/>
    </row>
    <row r="720">
      <c r="C720" s="9"/>
      <c r="G720" s="9"/>
      <c r="H720" s="9"/>
    </row>
    <row r="721">
      <c r="C721" s="9"/>
      <c r="G721" s="9"/>
      <c r="H721" s="9"/>
    </row>
    <row r="722">
      <c r="C722" s="9"/>
      <c r="G722" s="9"/>
      <c r="H722" s="9"/>
    </row>
    <row r="723">
      <c r="C723" s="9"/>
      <c r="G723" s="9"/>
      <c r="H723" s="9"/>
    </row>
    <row r="724">
      <c r="C724" s="9"/>
      <c r="G724" s="9"/>
      <c r="H724" s="9"/>
    </row>
    <row r="725">
      <c r="C725" s="9"/>
      <c r="G725" s="9"/>
      <c r="H725" s="9"/>
    </row>
    <row r="726">
      <c r="C726" s="9"/>
      <c r="G726" s="9"/>
      <c r="H726" s="9"/>
    </row>
    <row r="727">
      <c r="C727" s="9"/>
      <c r="G727" s="9"/>
      <c r="H727" s="9"/>
    </row>
    <row r="728">
      <c r="C728" s="9"/>
      <c r="G728" s="9"/>
      <c r="H728" s="9"/>
    </row>
    <row r="729">
      <c r="C729" s="9"/>
      <c r="G729" s="9"/>
      <c r="H729" s="9"/>
    </row>
    <row r="730">
      <c r="C730" s="9"/>
      <c r="G730" s="9"/>
      <c r="H730" s="9"/>
    </row>
    <row r="731">
      <c r="C731" s="9"/>
      <c r="G731" s="9"/>
      <c r="H731" s="9"/>
    </row>
    <row r="732">
      <c r="C732" s="9"/>
      <c r="G732" s="9"/>
      <c r="H732" s="9"/>
    </row>
    <row r="733">
      <c r="C733" s="9"/>
      <c r="G733" s="9"/>
      <c r="H733" s="9"/>
    </row>
    <row r="734">
      <c r="C734" s="9"/>
      <c r="G734" s="9"/>
      <c r="H734" s="9"/>
    </row>
    <row r="735">
      <c r="C735" s="9"/>
      <c r="G735" s="9"/>
      <c r="H735" s="9"/>
    </row>
    <row r="736">
      <c r="C736" s="9"/>
      <c r="G736" s="9"/>
      <c r="H736" s="9"/>
    </row>
    <row r="737">
      <c r="C737" s="9"/>
      <c r="G737" s="9"/>
      <c r="H737" s="9"/>
    </row>
    <row r="738">
      <c r="C738" s="9"/>
      <c r="G738" s="9"/>
      <c r="H738" s="9"/>
    </row>
    <row r="739">
      <c r="C739" s="9"/>
      <c r="G739" s="9"/>
      <c r="H739" s="9"/>
    </row>
    <row r="740">
      <c r="C740" s="9"/>
      <c r="G740" s="9"/>
      <c r="H740" s="9"/>
    </row>
    <row r="741">
      <c r="C741" s="9"/>
      <c r="G741" s="9"/>
      <c r="H741" s="9"/>
    </row>
    <row r="742">
      <c r="C742" s="9"/>
      <c r="G742" s="9"/>
      <c r="H742" s="9"/>
    </row>
    <row r="743">
      <c r="C743" s="9"/>
      <c r="G743" s="9"/>
      <c r="H743" s="9"/>
    </row>
    <row r="744">
      <c r="C744" s="9"/>
      <c r="G744" s="9"/>
      <c r="H744" s="9"/>
    </row>
    <row r="745">
      <c r="C745" s="9"/>
      <c r="G745" s="9"/>
      <c r="H745" s="9"/>
    </row>
    <row r="746">
      <c r="C746" s="9"/>
      <c r="G746" s="9"/>
      <c r="H746" s="9"/>
    </row>
    <row r="747">
      <c r="C747" s="9"/>
      <c r="G747" s="9"/>
      <c r="H747" s="9"/>
    </row>
    <row r="748">
      <c r="C748" s="9"/>
      <c r="G748" s="9"/>
      <c r="H748" s="9"/>
    </row>
    <row r="749">
      <c r="C749" s="9"/>
      <c r="G749" s="9"/>
      <c r="H749" s="9"/>
    </row>
    <row r="750">
      <c r="C750" s="9"/>
      <c r="G750" s="9"/>
      <c r="H750" s="9"/>
    </row>
    <row r="751">
      <c r="C751" s="9"/>
      <c r="G751" s="9"/>
      <c r="H751" s="9"/>
    </row>
    <row r="752">
      <c r="C752" s="9"/>
      <c r="G752" s="9"/>
      <c r="H752" s="9"/>
    </row>
    <row r="753">
      <c r="C753" s="9"/>
      <c r="G753" s="9"/>
      <c r="H753" s="9"/>
    </row>
    <row r="754">
      <c r="C754" s="9"/>
      <c r="G754" s="9"/>
      <c r="H754" s="9"/>
    </row>
    <row r="755">
      <c r="C755" s="9"/>
      <c r="G755" s="9"/>
      <c r="H755" s="9"/>
    </row>
    <row r="756">
      <c r="C756" s="9"/>
      <c r="G756" s="9"/>
      <c r="H756" s="9"/>
    </row>
    <row r="757">
      <c r="C757" s="9"/>
      <c r="G757" s="9"/>
      <c r="H757" s="9"/>
    </row>
    <row r="758">
      <c r="C758" s="9"/>
      <c r="G758" s="9"/>
      <c r="H758" s="9"/>
    </row>
    <row r="759">
      <c r="C759" s="9"/>
      <c r="G759" s="9"/>
      <c r="H759" s="9"/>
    </row>
    <row r="760">
      <c r="C760" s="9"/>
      <c r="G760" s="9"/>
      <c r="H760" s="9"/>
    </row>
    <row r="761">
      <c r="C761" s="9"/>
      <c r="G761" s="9"/>
      <c r="H761" s="9"/>
    </row>
    <row r="762">
      <c r="C762" s="9"/>
      <c r="G762" s="9"/>
      <c r="H762" s="9"/>
    </row>
    <row r="763">
      <c r="C763" s="9"/>
      <c r="G763" s="9"/>
      <c r="H763" s="9"/>
    </row>
    <row r="764">
      <c r="C764" s="9"/>
      <c r="G764" s="9"/>
      <c r="H764" s="9"/>
    </row>
    <row r="765">
      <c r="C765" s="9"/>
      <c r="G765" s="9"/>
      <c r="H765" s="9"/>
    </row>
    <row r="766">
      <c r="C766" s="9"/>
      <c r="G766" s="9"/>
      <c r="H766" s="9"/>
    </row>
    <row r="767">
      <c r="C767" s="9"/>
      <c r="G767" s="9"/>
      <c r="H767" s="9"/>
    </row>
    <row r="768">
      <c r="C768" s="9"/>
      <c r="G768" s="9"/>
      <c r="H768" s="9"/>
    </row>
    <row r="769">
      <c r="C769" s="9"/>
      <c r="G769" s="9"/>
      <c r="H769" s="9"/>
    </row>
    <row r="770">
      <c r="C770" s="9"/>
      <c r="G770" s="9"/>
      <c r="H770" s="9"/>
    </row>
    <row r="771">
      <c r="C771" s="9"/>
      <c r="G771" s="9"/>
      <c r="H771" s="9"/>
    </row>
    <row r="772">
      <c r="C772" s="9"/>
      <c r="G772" s="9"/>
      <c r="H772" s="9"/>
    </row>
    <row r="773">
      <c r="C773" s="9"/>
      <c r="G773" s="9"/>
      <c r="H773" s="9"/>
    </row>
    <row r="774">
      <c r="C774" s="9"/>
      <c r="G774" s="9"/>
      <c r="H774" s="9"/>
    </row>
    <row r="775">
      <c r="C775" s="9"/>
      <c r="G775" s="9"/>
      <c r="H775" s="9"/>
    </row>
    <row r="776">
      <c r="C776" s="9"/>
      <c r="G776" s="9"/>
      <c r="H776" s="9"/>
    </row>
    <row r="777">
      <c r="C777" s="9"/>
      <c r="G777" s="9"/>
      <c r="H777" s="9"/>
    </row>
    <row r="778">
      <c r="C778" s="9"/>
      <c r="G778" s="9"/>
      <c r="H778" s="9"/>
    </row>
    <row r="779">
      <c r="C779" s="9"/>
      <c r="G779" s="9"/>
      <c r="H779" s="9"/>
    </row>
    <row r="780">
      <c r="C780" s="9"/>
      <c r="G780" s="9"/>
      <c r="H780" s="9"/>
    </row>
    <row r="781">
      <c r="C781" s="9"/>
      <c r="G781" s="9"/>
      <c r="H781" s="9"/>
    </row>
    <row r="782">
      <c r="C782" s="9"/>
      <c r="G782" s="9"/>
      <c r="H782" s="9"/>
    </row>
    <row r="783">
      <c r="C783" s="9"/>
      <c r="G783" s="9"/>
      <c r="H783" s="9"/>
    </row>
    <row r="784">
      <c r="C784" s="9"/>
      <c r="G784" s="9"/>
      <c r="H784" s="9"/>
    </row>
    <row r="785">
      <c r="C785" s="9"/>
      <c r="G785" s="9"/>
      <c r="H785" s="9"/>
    </row>
    <row r="786">
      <c r="C786" s="9"/>
      <c r="G786" s="9"/>
      <c r="H786" s="9"/>
    </row>
    <row r="787">
      <c r="C787" s="9"/>
      <c r="G787" s="9"/>
      <c r="H787" s="9"/>
    </row>
    <row r="788">
      <c r="C788" s="9"/>
      <c r="G788" s="9"/>
      <c r="H788" s="9"/>
    </row>
    <row r="789">
      <c r="C789" s="9"/>
      <c r="G789" s="9"/>
      <c r="H789" s="9"/>
    </row>
    <row r="790">
      <c r="C790" s="9"/>
      <c r="G790" s="9"/>
      <c r="H790" s="9"/>
    </row>
    <row r="791">
      <c r="C791" s="9"/>
      <c r="G791" s="9"/>
      <c r="H791" s="9"/>
    </row>
    <row r="792">
      <c r="C792" s="9"/>
      <c r="G792" s="9"/>
      <c r="H792" s="9"/>
    </row>
    <row r="793">
      <c r="C793" s="9"/>
      <c r="G793" s="9"/>
      <c r="H793" s="9"/>
    </row>
    <row r="794">
      <c r="C794" s="9"/>
      <c r="G794" s="9"/>
      <c r="H794" s="9"/>
    </row>
    <row r="795">
      <c r="C795" s="9"/>
      <c r="G795" s="9"/>
      <c r="H795" s="9"/>
    </row>
    <row r="796">
      <c r="C796" s="9"/>
      <c r="G796" s="9"/>
      <c r="H796" s="9"/>
    </row>
    <row r="797">
      <c r="C797" s="9"/>
      <c r="G797" s="9"/>
      <c r="H797" s="9"/>
    </row>
    <row r="798">
      <c r="C798" s="9"/>
      <c r="G798" s="9"/>
      <c r="H798" s="9"/>
    </row>
    <row r="799">
      <c r="C799" s="9"/>
      <c r="G799" s="9"/>
      <c r="H799" s="9"/>
    </row>
    <row r="800">
      <c r="C800" s="9"/>
      <c r="G800" s="9"/>
      <c r="H800" s="9"/>
    </row>
    <row r="801">
      <c r="C801" s="9"/>
      <c r="G801" s="9"/>
      <c r="H801" s="9"/>
    </row>
    <row r="802">
      <c r="C802" s="9"/>
      <c r="G802" s="9"/>
      <c r="H802" s="9"/>
    </row>
    <row r="803">
      <c r="C803" s="9"/>
      <c r="G803" s="9"/>
      <c r="H803" s="9"/>
    </row>
    <row r="804">
      <c r="C804" s="9"/>
      <c r="G804" s="9"/>
      <c r="H804" s="9"/>
    </row>
    <row r="805">
      <c r="C805" s="9"/>
      <c r="G805" s="9"/>
      <c r="H805" s="9"/>
    </row>
    <row r="806">
      <c r="C806" s="9"/>
      <c r="G806" s="9"/>
      <c r="H806" s="9"/>
    </row>
    <row r="807">
      <c r="C807" s="9"/>
      <c r="G807" s="9"/>
      <c r="H807" s="9"/>
    </row>
    <row r="808">
      <c r="C808" s="9"/>
      <c r="G808" s="9"/>
      <c r="H808" s="9"/>
    </row>
    <row r="809">
      <c r="C809" s="9"/>
      <c r="G809" s="9"/>
      <c r="H809" s="9"/>
    </row>
    <row r="810">
      <c r="C810" s="9"/>
      <c r="G810" s="9"/>
      <c r="H810" s="9"/>
    </row>
    <row r="811">
      <c r="C811" s="9"/>
      <c r="G811" s="9"/>
      <c r="H811" s="9"/>
    </row>
    <row r="812">
      <c r="C812" s="9"/>
      <c r="G812" s="9"/>
      <c r="H812" s="9"/>
    </row>
    <row r="813">
      <c r="C813" s="9"/>
      <c r="G813" s="9"/>
      <c r="H813" s="9"/>
    </row>
    <row r="814">
      <c r="C814" s="9"/>
      <c r="G814" s="9"/>
      <c r="H814" s="9"/>
    </row>
    <row r="815">
      <c r="C815" s="9"/>
      <c r="G815" s="9"/>
      <c r="H815" s="9"/>
    </row>
    <row r="816">
      <c r="C816" s="9"/>
      <c r="G816" s="9"/>
      <c r="H816" s="9"/>
    </row>
    <row r="817">
      <c r="C817" s="9"/>
      <c r="G817" s="9"/>
      <c r="H817" s="9"/>
    </row>
    <row r="818">
      <c r="C818" s="9"/>
      <c r="G818" s="9"/>
      <c r="H818" s="9"/>
    </row>
    <row r="819">
      <c r="C819" s="9"/>
      <c r="G819" s="9"/>
      <c r="H819" s="9"/>
    </row>
    <row r="820">
      <c r="C820" s="9"/>
      <c r="G820" s="9"/>
      <c r="H820" s="9"/>
    </row>
    <row r="821">
      <c r="C821" s="9"/>
      <c r="G821" s="9"/>
      <c r="H821" s="9"/>
    </row>
    <row r="822">
      <c r="C822" s="9"/>
      <c r="G822" s="9"/>
      <c r="H822" s="9"/>
    </row>
    <row r="823">
      <c r="C823" s="9"/>
      <c r="G823" s="9"/>
      <c r="H823" s="9"/>
    </row>
    <row r="824">
      <c r="C824" s="9"/>
      <c r="G824" s="9"/>
      <c r="H824" s="9"/>
    </row>
    <row r="825">
      <c r="C825" s="9"/>
      <c r="G825" s="9"/>
      <c r="H825" s="9"/>
    </row>
    <row r="826">
      <c r="C826" s="9"/>
      <c r="G826" s="9"/>
      <c r="H826" s="9"/>
    </row>
    <row r="827">
      <c r="C827" s="9"/>
      <c r="G827" s="9"/>
      <c r="H827" s="9"/>
    </row>
    <row r="828">
      <c r="C828" s="9"/>
      <c r="G828" s="9"/>
      <c r="H828" s="9"/>
    </row>
    <row r="829">
      <c r="C829" s="9"/>
      <c r="G829" s="9"/>
      <c r="H829" s="9"/>
    </row>
    <row r="830">
      <c r="C830" s="9"/>
      <c r="G830" s="9"/>
      <c r="H830" s="9"/>
    </row>
    <row r="831">
      <c r="C831" s="9"/>
      <c r="G831" s="9"/>
      <c r="H831" s="9"/>
    </row>
    <row r="832">
      <c r="C832" s="9"/>
      <c r="G832" s="9"/>
      <c r="H832" s="9"/>
    </row>
    <row r="833">
      <c r="C833" s="9"/>
      <c r="G833" s="9"/>
      <c r="H833" s="9"/>
    </row>
    <row r="834">
      <c r="C834" s="9"/>
      <c r="G834" s="9"/>
      <c r="H834" s="9"/>
    </row>
    <row r="835">
      <c r="C835" s="9"/>
      <c r="G835" s="9"/>
      <c r="H835" s="9"/>
    </row>
    <row r="836">
      <c r="C836" s="9"/>
      <c r="G836" s="9"/>
      <c r="H836" s="9"/>
    </row>
    <row r="837">
      <c r="C837" s="9"/>
      <c r="G837" s="9"/>
      <c r="H837" s="9"/>
    </row>
    <row r="838">
      <c r="C838" s="9"/>
      <c r="G838" s="9"/>
      <c r="H838" s="9"/>
    </row>
    <row r="839">
      <c r="C839" s="9"/>
      <c r="G839" s="9"/>
      <c r="H839" s="9"/>
    </row>
    <row r="840">
      <c r="C840" s="9"/>
      <c r="G840" s="9"/>
      <c r="H840" s="9"/>
    </row>
    <row r="841">
      <c r="C841" s="9"/>
      <c r="G841" s="9"/>
      <c r="H841" s="9"/>
    </row>
    <row r="842">
      <c r="C842" s="9"/>
      <c r="G842" s="9"/>
      <c r="H842" s="9"/>
    </row>
    <row r="843">
      <c r="C843" s="9"/>
      <c r="G843" s="9"/>
      <c r="H843" s="9"/>
    </row>
    <row r="844">
      <c r="C844" s="9"/>
      <c r="G844" s="9"/>
      <c r="H844" s="9"/>
    </row>
    <row r="845">
      <c r="C845" s="9"/>
      <c r="G845" s="9"/>
      <c r="H845" s="9"/>
    </row>
    <row r="846">
      <c r="C846" s="9"/>
      <c r="G846" s="9"/>
      <c r="H846" s="9"/>
    </row>
    <row r="847">
      <c r="C847" s="9"/>
      <c r="G847" s="9"/>
      <c r="H847" s="9"/>
    </row>
    <row r="848">
      <c r="C848" s="9"/>
      <c r="G848" s="9"/>
      <c r="H848" s="9"/>
    </row>
    <row r="849">
      <c r="C849" s="9"/>
      <c r="G849" s="9"/>
      <c r="H849" s="9"/>
    </row>
    <row r="850">
      <c r="C850" s="9"/>
      <c r="G850" s="9"/>
      <c r="H850" s="9"/>
    </row>
    <row r="851">
      <c r="C851" s="9"/>
      <c r="G851" s="9"/>
      <c r="H851" s="9"/>
    </row>
    <row r="852">
      <c r="C852" s="9"/>
      <c r="G852" s="9"/>
      <c r="H852" s="9"/>
    </row>
    <row r="853">
      <c r="C853" s="9"/>
      <c r="G853" s="9"/>
      <c r="H853" s="9"/>
    </row>
    <row r="854">
      <c r="C854" s="9"/>
      <c r="G854" s="9"/>
      <c r="H854" s="9"/>
    </row>
    <row r="855">
      <c r="C855" s="9"/>
      <c r="G855" s="9"/>
      <c r="H855" s="9"/>
    </row>
    <row r="856">
      <c r="C856" s="9"/>
      <c r="G856" s="9"/>
      <c r="H856" s="9"/>
    </row>
    <row r="857">
      <c r="C857" s="9"/>
      <c r="G857" s="9"/>
      <c r="H857" s="9"/>
    </row>
    <row r="858">
      <c r="C858" s="9"/>
      <c r="G858" s="9"/>
      <c r="H858" s="9"/>
    </row>
    <row r="859">
      <c r="C859" s="9"/>
      <c r="G859" s="9"/>
      <c r="H859" s="9"/>
    </row>
    <row r="860">
      <c r="C860" s="9"/>
      <c r="G860" s="9"/>
      <c r="H860" s="9"/>
    </row>
    <row r="861">
      <c r="C861" s="9"/>
      <c r="G861" s="9"/>
      <c r="H861" s="9"/>
    </row>
    <row r="862">
      <c r="C862" s="9"/>
      <c r="G862" s="9"/>
      <c r="H862" s="9"/>
    </row>
    <row r="863">
      <c r="C863" s="9"/>
      <c r="G863" s="9"/>
      <c r="H863" s="9"/>
    </row>
    <row r="864">
      <c r="C864" s="9"/>
      <c r="G864" s="9"/>
      <c r="H864" s="9"/>
    </row>
    <row r="865">
      <c r="C865" s="9"/>
      <c r="G865" s="9"/>
      <c r="H865" s="9"/>
    </row>
    <row r="866">
      <c r="C866" s="9"/>
      <c r="G866" s="9"/>
      <c r="H866" s="9"/>
    </row>
    <row r="867">
      <c r="C867" s="9"/>
      <c r="G867" s="9"/>
      <c r="H867" s="9"/>
    </row>
    <row r="868">
      <c r="C868" s="9"/>
      <c r="G868" s="9"/>
      <c r="H868" s="9"/>
    </row>
    <row r="869">
      <c r="C869" s="9"/>
      <c r="G869" s="9"/>
      <c r="H869" s="9"/>
    </row>
    <row r="870">
      <c r="C870" s="9"/>
      <c r="G870" s="9"/>
      <c r="H870" s="9"/>
    </row>
    <row r="871">
      <c r="C871" s="9"/>
      <c r="G871" s="9"/>
      <c r="H871" s="9"/>
    </row>
    <row r="872">
      <c r="C872" s="9"/>
      <c r="G872" s="9"/>
      <c r="H872" s="9"/>
    </row>
    <row r="873">
      <c r="C873" s="9"/>
      <c r="G873" s="9"/>
      <c r="H873" s="9"/>
    </row>
    <row r="874">
      <c r="C874" s="9"/>
      <c r="G874" s="9"/>
      <c r="H874" s="9"/>
    </row>
    <row r="875">
      <c r="C875" s="9"/>
      <c r="G875" s="9"/>
      <c r="H875" s="9"/>
    </row>
    <row r="876">
      <c r="C876" s="9"/>
      <c r="G876" s="9"/>
      <c r="H876" s="9"/>
    </row>
    <row r="877">
      <c r="C877" s="9"/>
      <c r="G877" s="9"/>
      <c r="H877" s="9"/>
    </row>
    <row r="878">
      <c r="C878" s="9"/>
      <c r="G878" s="9"/>
      <c r="H878" s="9"/>
    </row>
    <row r="879">
      <c r="C879" s="9"/>
      <c r="G879" s="9"/>
      <c r="H879" s="9"/>
    </row>
    <row r="880">
      <c r="C880" s="9"/>
      <c r="G880" s="9"/>
      <c r="H880" s="9"/>
    </row>
    <row r="881">
      <c r="C881" s="9"/>
      <c r="G881" s="9"/>
      <c r="H881" s="9"/>
    </row>
    <row r="882">
      <c r="C882" s="9"/>
      <c r="G882" s="9"/>
      <c r="H882" s="9"/>
    </row>
    <row r="883">
      <c r="C883" s="9"/>
      <c r="G883" s="9"/>
      <c r="H883" s="9"/>
    </row>
    <row r="884">
      <c r="C884" s="9"/>
      <c r="G884" s="9"/>
      <c r="H884" s="9"/>
    </row>
    <row r="885">
      <c r="C885" s="9"/>
      <c r="G885" s="9"/>
      <c r="H885" s="9"/>
    </row>
    <row r="886">
      <c r="C886" s="9"/>
      <c r="G886" s="9"/>
      <c r="H886" s="9"/>
    </row>
    <row r="887">
      <c r="C887" s="9"/>
      <c r="G887" s="9"/>
      <c r="H887" s="9"/>
    </row>
    <row r="888">
      <c r="C888" s="9"/>
      <c r="G888" s="9"/>
      <c r="H888" s="9"/>
    </row>
    <row r="889">
      <c r="C889" s="9"/>
      <c r="G889" s="9"/>
      <c r="H889" s="9"/>
    </row>
    <row r="890">
      <c r="C890" s="9"/>
      <c r="G890" s="9"/>
      <c r="H890" s="9"/>
    </row>
    <row r="891">
      <c r="C891" s="9"/>
      <c r="G891" s="9"/>
      <c r="H891" s="9"/>
    </row>
    <row r="892">
      <c r="C892" s="9"/>
      <c r="G892" s="9"/>
      <c r="H892" s="9"/>
    </row>
    <row r="893">
      <c r="C893" s="9"/>
      <c r="G893" s="9"/>
      <c r="H893" s="9"/>
    </row>
    <row r="894">
      <c r="C894" s="9"/>
      <c r="G894" s="9"/>
      <c r="H894" s="9"/>
    </row>
    <row r="895">
      <c r="C895" s="9"/>
      <c r="G895" s="9"/>
      <c r="H895" s="9"/>
    </row>
    <row r="896">
      <c r="C896" s="9"/>
      <c r="G896" s="9"/>
      <c r="H896" s="9"/>
    </row>
    <row r="897">
      <c r="C897" s="9"/>
      <c r="G897" s="9"/>
      <c r="H897" s="9"/>
    </row>
    <row r="898">
      <c r="C898" s="9"/>
      <c r="G898" s="9"/>
      <c r="H898" s="9"/>
    </row>
    <row r="899">
      <c r="C899" s="9"/>
      <c r="G899" s="9"/>
      <c r="H899" s="9"/>
    </row>
    <row r="900">
      <c r="C900" s="9"/>
      <c r="G900" s="9"/>
      <c r="H900" s="9"/>
    </row>
    <row r="901">
      <c r="C901" s="9"/>
      <c r="G901" s="9"/>
      <c r="H901" s="9"/>
    </row>
    <row r="902">
      <c r="C902" s="9"/>
      <c r="G902" s="9"/>
      <c r="H902" s="9"/>
    </row>
    <row r="903">
      <c r="C903" s="9"/>
      <c r="G903" s="9"/>
      <c r="H903" s="9"/>
    </row>
    <row r="904">
      <c r="C904" s="9"/>
      <c r="G904" s="9"/>
      <c r="H904" s="9"/>
    </row>
    <row r="905">
      <c r="C905" s="9"/>
      <c r="G905" s="9"/>
      <c r="H905" s="9"/>
    </row>
    <row r="906">
      <c r="C906" s="9"/>
      <c r="G906" s="9"/>
      <c r="H906" s="9"/>
    </row>
    <row r="907">
      <c r="C907" s="9"/>
      <c r="G907" s="9"/>
      <c r="H907" s="9"/>
    </row>
    <row r="908">
      <c r="C908" s="9"/>
      <c r="G908" s="9"/>
      <c r="H908" s="9"/>
    </row>
    <row r="909">
      <c r="C909" s="9"/>
      <c r="G909" s="9"/>
      <c r="H909" s="9"/>
    </row>
    <row r="910">
      <c r="C910" s="9"/>
      <c r="G910" s="9"/>
      <c r="H910" s="9"/>
    </row>
    <row r="911">
      <c r="C911" s="9"/>
      <c r="G911" s="9"/>
      <c r="H911" s="9"/>
    </row>
    <row r="912">
      <c r="C912" s="9"/>
      <c r="G912" s="9"/>
      <c r="H912" s="9"/>
    </row>
    <row r="913">
      <c r="C913" s="9"/>
      <c r="G913" s="9"/>
      <c r="H913" s="9"/>
    </row>
    <row r="914">
      <c r="C914" s="9"/>
      <c r="G914" s="9"/>
      <c r="H914" s="9"/>
    </row>
    <row r="915">
      <c r="C915" s="9"/>
      <c r="G915" s="9"/>
      <c r="H915" s="9"/>
    </row>
    <row r="916">
      <c r="C916" s="9"/>
      <c r="G916" s="9"/>
      <c r="H916" s="9"/>
    </row>
    <row r="917">
      <c r="C917" s="9"/>
      <c r="G917" s="9"/>
      <c r="H917" s="9"/>
    </row>
    <row r="918">
      <c r="C918" s="9"/>
      <c r="G918" s="9"/>
      <c r="H918" s="9"/>
    </row>
    <row r="919">
      <c r="C919" s="9"/>
      <c r="G919" s="9"/>
      <c r="H919" s="9"/>
    </row>
    <row r="920">
      <c r="C920" s="9"/>
      <c r="G920" s="9"/>
      <c r="H920" s="9"/>
    </row>
    <row r="921">
      <c r="C921" s="9"/>
      <c r="G921" s="9"/>
      <c r="H921" s="9"/>
    </row>
    <row r="922">
      <c r="C922" s="9"/>
      <c r="G922" s="9"/>
      <c r="H922" s="9"/>
    </row>
    <row r="923">
      <c r="C923" s="9"/>
      <c r="G923" s="9"/>
      <c r="H923" s="9"/>
    </row>
    <row r="924">
      <c r="C924" s="9"/>
      <c r="G924" s="9"/>
      <c r="H924" s="9"/>
    </row>
    <row r="925">
      <c r="C925" s="9"/>
      <c r="G925" s="9"/>
      <c r="H925" s="9"/>
    </row>
    <row r="926">
      <c r="C926" s="9"/>
      <c r="G926" s="9"/>
      <c r="H926" s="9"/>
    </row>
    <row r="927">
      <c r="C927" s="9"/>
      <c r="G927" s="9"/>
      <c r="H927" s="9"/>
    </row>
    <row r="928">
      <c r="C928" s="9"/>
      <c r="G928" s="9"/>
      <c r="H928" s="9"/>
    </row>
    <row r="929">
      <c r="C929" s="9"/>
      <c r="G929" s="9"/>
      <c r="H929" s="9"/>
    </row>
    <row r="930">
      <c r="C930" s="9"/>
      <c r="G930" s="9"/>
      <c r="H930" s="9"/>
    </row>
    <row r="931">
      <c r="C931" s="9"/>
      <c r="G931" s="9"/>
      <c r="H931" s="9"/>
    </row>
    <row r="932">
      <c r="C932" s="9"/>
      <c r="G932" s="9"/>
      <c r="H932" s="9"/>
    </row>
    <row r="933">
      <c r="C933" s="9"/>
      <c r="G933" s="9"/>
      <c r="H933" s="9"/>
    </row>
    <row r="934">
      <c r="C934" s="9"/>
      <c r="G934" s="9"/>
      <c r="H934" s="9"/>
    </row>
    <row r="935">
      <c r="C935" s="9"/>
      <c r="G935" s="9"/>
      <c r="H935" s="9"/>
    </row>
    <row r="936">
      <c r="C936" s="9"/>
      <c r="G936" s="9"/>
      <c r="H936" s="9"/>
    </row>
    <row r="937">
      <c r="C937" s="9"/>
      <c r="G937" s="9"/>
      <c r="H937" s="9"/>
    </row>
    <row r="938">
      <c r="C938" s="9"/>
      <c r="G938" s="9"/>
      <c r="H938" s="9"/>
    </row>
    <row r="939">
      <c r="C939" s="9"/>
      <c r="G939" s="9"/>
      <c r="H939" s="9"/>
    </row>
    <row r="940">
      <c r="C940" s="9"/>
      <c r="G940" s="9"/>
      <c r="H940" s="9"/>
    </row>
    <row r="941">
      <c r="C941" s="9"/>
      <c r="G941" s="9"/>
      <c r="H941" s="9"/>
    </row>
    <row r="942">
      <c r="C942" s="9"/>
      <c r="G942" s="9"/>
      <c r="H942" s="9"/>
    </row>
    <row r="943">
      <c r="C943" s="9"/>
      <c r="G943" s="9"/>
      <c r="H943" s="9"/>
    </row>
    <row r="944">
      <c r="C944" s="9"/>
      <c r="G944" s="9"/>
      <c r="H944" s="9"/>
    </row>
    <row r="945">
      <c r="C945" s="9"/>
      <c r="G945" s="9"/>
      <c r="H945" s="9"/>
    </row>
    <row r="946">
      <c r="C946" s="9"/>
      <c r="G946" s="9"/>
      <c r="H946" s="9"/>
    </row>
    <row r="947">
      <c r="C947" s="9"/>
      <c r="G947" s="9"/>
      <c r="H947" s="9"/>
    </row>
    <row r="948">
      <c r="C948" s="9"/>
      <c r="G948" s="9"/>
      <c r="H948" s="9"/>
    </row>
    <row r="949">
      <c r="C949" s="9"/>
      <c r="G949" s="9"/>
      <c r="H949" s="9"/>
    </row>
    <row r="950">
      <c r="C950" s="9"/>
      <c r="G950" s="9"/>
      <c r="H950" s="9"/>
    </row>
    <row r="951">
      <c r="C951" s="9"/>
      <c r="G951" s="9"/>
      <c r="H951" s="9"/>
    </row>
    <row r="952">
      <c r="C952" s="9"/>
      <c r="G952" s="9"/>
      <c r="H952" s="9"/>
    </row>
    <row r="953">
      <c r="C953" s="9"/>
      <c r="G953" s="9"/>
      <c r="H953" s="9"/>
    </row>
    <row r="954">
      <c r="C954" s="9"/>
      <c r="G954" s="9"/>
      <c r="H954" s="9"/>
    </row>
    <row r="955">
      <c r="C955" s="9"/>
      <c r="G955" s="9"/>
      <c r="H955" s="9"/>
    </row>
    <row r="956">
      <c r="C956" s="9"/>
      <c r="G956" s="9"/>
      <c r="H956" s="9"/>
    </row>
    <row r="957">
      <c r="C957" s="9"/>
      <c r="G957" s="9"/>
      <c r="H957" s="9"/>
    </row>
    <row r="958">
      <c r="C958" s="9"/>
      <c r="G958" s="9"/>
      <c r="H958" s="9"/>
    </row>
    <row r="959">
      <c r="C959" s="9"/>
      <c r="G959" s="9"/>
      <c r="H959" s="9"/>
    </row>
    <row r="960">
      <c r="C960" s="9"/>
      <c r="G960" s="9"/>
      <c r="H960" s="9"/>
    </row>
    <row r="961">
      <c r="C961" s="9"/>
      <c r="G961" s="9"/>
      <c r="H961" s="9"/>
    </row>
    <row r="962">
      <c r="C962" s="9"/>
      <c r="G962" s="9"/>
      <c r="H962" s="9"/>
    </row>
    <row r="963">
      <c r="C963" s="9"/>
      <c r="G963" s="9"/>
      <c r="H963" s="9"/>
    </row>
    <row r="964">
      <c r="C964" s="9"/>
      <c r="G964" s="9"/>
      <c r="H964" s="9"/>
    </row>
    <row r="965">
      <c r="C965" s="9"/>
      <c r="G965" s="9"/>
      <c r="H965" s="9"/>
    </row>
    <row r="966">
      <c r="C966" s="9"/>
      <c r="G966" s="9"/>
      <c r="H966" s="9"/>
    </row>
    <row r="967">
      <c r="C967" s="9"/>
      <c r="G967" s="9"/>
      <c r="H967" s="9"/>
    </row>
    <row r="968">
      <c r="C968" s="9"/>
      <c r="G968" s="9"/>
      <c r="H968" s="9"/>
    </row>
    <row r="969">
      <c r="C969" s="9"/>
      <c r="G969" s="9"/>
      <c r="H969" s="9"/>
    </row>
    <row r="970">
      <c r="C970" s="9"/>
      <c r="G970" s="9"/>
      <c r="H970" s="9"/>
    </row>
    <row r="971">
      <c r="C971" s="9"/>
      <c r="G971" s="9"/>
      <c r="H971" s="9"/>
    </row>
    <row r="972">
      <c r="C972" s="9"/>
      <c r="G972" s="9"/>
      <c r="H972" s="9"/>
    </row>
    <row r="973">
      <c r="C973" s="9"/>
      <c r="G973" s="9"/>
      <c r="H973" s="9"/>
    </row>
    <row r="974">
      <c r="C974" s="9"/>
      <c r="G974" s="9"/>
      <c r="H974" s="9"/>
    </row>
    <row r="975">
      <c r="C975" s="9"/>
      <c r="G975" s="9"/>
      <c r="H975" s="9"/>
    </row>
    <row r="976">
      <c r="C976" s="9"/>
      <c r="G976" s="9"/>
      <c r="H976" s="9"/>
    </row>
    <row r="977">
      <c r="C977" s="9"/>
      <c r="G977" s="9"/>
      <c r="H977" s="9"/>
    </row>
    <row r="978">
      <c r="C978" s="9"/>
      <c r="G978" s="9"/>
      <c r="H978" s="9"/>
    </row>
    <row r="979">
      <c r="C979" s="9"/>
      <c r="G979" s="9"/>
      <c r="H979" s="9"/>
    </row>
    <row r="980">
      <c r="C980" s="9"/>
      <c r="G980" s="9"/>
      <c r="H980" s="9"/>
    </row>
    <row r="981">
      <c r="C981" s="9"/>
      <c r="G981" s="9"/>
      <c r="H981" s="9"/>
    </row>
    <row r="982">
      <c r="C982" s="9"/>
      <c r="G982" s="9"/>
      <c r="H982" s="9"/>
    </row>
    <row r="983">
      <c r="C983" s="9"/>
      <c r="G983" s="9"/>
      <c r="H983" s="9"/>
    </row>
    <row r="984">
      <c r="C984" s="9"/>
      <c r="G984" s="9"/>
      <c r="H984" s="9"/>
    </row>
    <row r="985">
      <c r="C985" s="9"/>
      <c r="G985" s="9"/>
      <c r="H985" s="9"/>
    </row>
    <row r="986">
      <c r="C986" s="9"/>
      <c r="G986" s="9"/>
      <c r="H986" s="9"/>
    </row>
    <row r="987">
      <c r="C987" s="9"/>
      <c r="G987" s="9"/>
      <c r="H987" s="9"/>
    </row>
    <row r="988">
      <c r="C988" s="9"/>
      <c r="G988" s="9"/>
      <c r="H988" s="9"/>
    </row>
    <row r="989">
      <c r="C989" s="9"/>
      <c r="G989" s="9"/>
      <c r="H989" s="9"/>
    </row>
    <row r="990">
      <c r="C990" s="9"/>
      <c r="G990" s="9"/>
      <c r="H990" s="9"/>
    </row>
    <row r="991">
      <c r="C991" s="9"/>
      <c r="G991" s="9"/>
      <c r="H991" s="9"/>
    </row>
    <row r="992">
      <c r="C992" s="9"/>
      <c r="G992" s="9"/>
      <c r="H992" s="9"/>
    </row>
    <row r="993">
      <c r="C993" s="9"/>
      <c r="G993" s="9"/>
      <c r="H993" s="9"/>
    </row>
    <row r="994">
      <c r="C994" s="9"/>
      <c r="G994" s="9"/>
      <c r="H994" s="9"/>
    </row>
    <row r="995">
      <c r="C995" s="9"/>
      <c r="G995" s="9"/>
      <c r="H995" s="9"/>
    </row>
    <row r="996">
      <c r="C996" s="9"/>
      <c r="G996" s="9"/>
      <c r="H996" s="9"/>
    </row>
    <row r="997">
      <c r="C997" s="9"/>
      <c r="G997" s="9"/>
      <c r="H997" s="9"/>
    </row>
    <row r="998">
      <c r="C998" s="9"/>
      <c r="G998" s="9"/>
      <c r="H998" s="9"/>
    </row>
    <row r="999">
      <c r="C999" s="9"/>
      <c r="G999" s="9"/>
      <c r="H999" s="9"/>
    </row>
    <row r="1000">
      <c r="C1000" s="9"/>
      <c r="G1000" s="9"/>
      <c r="H1000" s="9"/>
    </row>
    <row r="1001">
      <c r="C1001" s="9"/>
      <c r="G1001" s="9"/>
      <c r="H1001" s="9"/>
    </row>
    <row r="1002">
      <c r="C1002" s="9"/>
      <c r="G1002" s="9"/>
      <c r="H1002" s="9"/>
    </row>
    <row r="1003">
      <c r="C1003" s="9"/>
      <c r="G1003" s="9"/>
      <c r="H1003" s="9"/>
    </row>
  </sheetData>
  <dataValidations>
    <dataValidation type="list" allowBlank="1" showErrorMessage="1" sqref="F2:F37">
      <formula1>"Sell,Rent"</formula1>
    </dataValidation>
    <dataValidation type="list" allowBlank="1" showErrorMessage="1" sqref="D1">
      <formula1>"Gender"</formula1>
    </dataValidation>
    <dataValidation type="list" allowBlank="1" showErrorMessage="1" sqref="D2:D37">
      <formula1>"Female,Male"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1" t="s">
        <v>6</v>
      </c>
      <c r="C1" s="1" t="s">
        <v>7</v>
      </c>
      <c r="D1" s="19" t="s">
        <v>120</v>
      </c>
      <c r="E1" s="19" t="s">
        <v>121</v>
      </c>
      <c r="F1" s="19" t="s">
        <v>122</v>
      </c>
      <c r="G1" s="19" t="s">
        <v>123</v>
      </c>
      <c r="H1" s="19" t="s">
        <v>124</v>
      </c>
      <c r="I1" s="19" t="s">
        <v>125</v>
      </c>
      <c r="J1" s="19" t="s">
        <v>126</v>
      </c>
      <c r="K1" s="19" t="s">
        <v>127</v>
      </c>
      <c r="L1" s="19" t="s">
        <v>128</v>
      </c>
      <c r="M1" s="19" t="s">
        <v>129</v>
      </c>
      <c r="N1" s="19" t="s">
        <v>130</v>
      </c>
      <c r="O1" s="19" t="s">
        <v>131</v>
      </c>
      <c r="P1" s="19" t="s">
        <v>132</v>
      </c>
      <c r="Q1" s="19" t="s">
        <v>133</v>
      </c>
      <c r="R1" s="19"/>
      <c r="S1" s="19"/>
      <c r="T1" s="19"/>
      <c r="U1" s="2"/>
      <c r="V1" s="2"/>
      <c r="W1" s="2"/>
      <c r="X1" s="2"/>
      <c r="Y1" s="2"/>
      <c r="Z1" s="2"/>
      <c r="AA1" s="2"/>
      <c r="AB1" s="2"/>
    </row>
    <row r="2">
      <c r="A2" s="3" t="s">
        <v>13</v>
      </c>
      <c r="B2" s="5">
        <v>45908.0</v>
      </c>
      <c r="C2" s="8">
        <v>45650.0</v>
      </c>
      <c r="D2" s="20">
        <v>39.0</v>
      </c>
      <c r="E2" s="20">
        <v>28.0</v>
      </c>
      <c r="F2" s="20" t="s">
        <v>134</v>
      </c>
      <c r="G2" s="20">
        <v>36.0</v>
      </c>
      <c r="H2" s="20">
        <v>30.0</v>
      </c>
      <c r="I2" s="21"/>
      <c r="J2" s="21"/>
      <c r="K2" s="21"/>
      <c r="L2" s="20">
        <v>42.0</v>
      </c>
      <c r="M2" s="21"/>
      <c r="N2" s="20">
        <v>42.0</v>
      </c>
      <c r="O2" s="22"/>
      <c r="P2" s="22"/>
      <c r="Q2" s="22"/>
      <c r="R2" s="22"/>
      <c r="S2" s="22"/>
      <c r="T2" s="22"/>
    </row>
    <row r="3">
      <c r="A3" s="3" t="s">
        <v>19</v>
      </c>
      <c r="B3" s="6">
        <v>44774.0</v>
      </c>
      <c r="C3" s="6">
        <v>45668.0</v>
      </c>
      <c r="D3" s="20">
        <v>39.0</v>
      </c>
      <c r="E3" s="20">
        <v>30.0</v>
      </c>
      <c r="F3" s="20" t="s">
        <v>135</v>
      </c>
      <c r="G3" s="20">
        <v>33.0</v>
      </c>
      <c r="H3" s="20">
        <v>31.0</v>
      </c>
      <c r="I3" s="21"/>
      <c r="J3" s="21"/>
      <c r="K3" s="21"/>
      <c r="L3" s="20">
        <v>40.0</v>
      </c>
      <c r="M3" s="21"/>
      <c r="N3" s="21"/>
      <c r="O3" s="22"/>
      <c r="P3" s="22"/>
      <c r="Q3" s="22"/>
      <c r="R3" s="22"/>
      <c r="S3" s="22"/>
      <c r="T3" s="22"/>
    </row>
    <row r="4">
      <c r="A4" s="3" t="s">
        <v>23</v>
      </c>
      <c r="B4" s="8">
        <v>45644.0</v>
      </c>
      <c r="C4" s="6">
        <v>45682.0</v>
      </c>
      <c r="D4" s="20">
        <v>33.0</v>
      </c>
      <c r="E4" s="20">
        <v>24.0</v>
      </c>
      <c r="F4" s="20" t="s">
        <v>134</v>
      </c>
      <c r="G4" s="20">
        <v>30.0</v>
      </c>
      <c r="H4" s="20">
        <v>28.0</v>
      </c>
      <c r="I4" s="20">
        <v>6.0</v>
      </c>
      <c r="J4" s="21"/>
      <c r="K4" s="21"/>
      <c r="L4" s="21"/>
      <c r="M4" s="21"/>
      <c r="N4" s="21"/>
      <c r="O4" s="22"/>
      <c r="P4" s="22"/>
      <c r="Q4" s="22"/>
      <c r="R4" s="22"/>
      <c r="S4" s="22"/>
      <c r="T4" s="22"/>
    </row>
    <row r="5">
      <c r="A5" s="3" t="s">
        <v>27</v>
      </c>
      <c r="B5" s="6">
        <v>45677.0</v>
      </c>
      <c r="C5" s="6">
        <v>45868.0</v>
      </c>
      <c r="D5" s="20">
        <v>36.0</v>
      </c>
      <c r="E5" s="20">
        <v>29.0</v>
      </c>
      <c r="F5" s="20" t="s">
        <v>135</v>
      </c>
      <c r="G5" s="20">
        <v>32.0</v>
      </c>
      <c r="H5" s="20">
        <v>20.0</v>
      </c>
      <c r="I5" s="20">
        <v>5.0</v>
      </c>
      <c r="J5" s="20">
        <v>20.0</v>
      </c>
      <c r="K5" s="21"/>
      <c r="L5" s="21"/>
      <c r="M5" s="21"/>
      <c r="N5" s="21"/>
      <c r="O5" s="22"/>
      <c r="P5" s="22"/>
      <c r="Q5" s="22"/>
      <c r="R5" s="22"/>
      <c r="S5" s="22"/>
      <c r="T5" s="22"/>
    </row>
    <row r="6">
      <c r="A6" s="3" t="s">
        <v>31</v>
      </c>
      <c r="B6" s="6">
        <v>45668.0</v>
      </c>
      <c r="C6" s="6">
        <v>45875.0</v>
      </c>
      <c r="D6" s="20">
        <v>33.0</v>
      </c>
      <c r="E6" s="20">
        <v>27.0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>
      <c r="A7" s="3" t="s">
        <v>36</v>
      </c>
      <c r="B7" s="8">
        <v>45948.0</v>
      </c>
      <c r="C7" s="6">
        <v>45899.0</v>
      </c>
      <c r="D7" s="20">
        <v>35.0</v>
      </c>
      <c r="E7" s="20">
        <v>24.0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</row>
    <row r="8">
      <c r="A8" s="3" t="s">
        <v>39</v>
      </c>
      <c r="B8" s="6">
        <v>45938.0</v>
      </c>
      <c r="C8" s="6">
        <v>45906.0</v>
      </c>
      <c r="D8" s="20">
        <v>39.0</v>
      </c>
      <c r="E8" s="20">
        <v>26.0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>
      <c r="A9" s="3" t="s">
        <v>42</v>
      </c>
      <c r="B9" s="8">
        <v>45941.0</v>
      </c>
      <c r="C9" s="6">
        <v>45911.0</v>
      </c>
      <c r="D9" s="20">
        <v>34.0</v>
      </c>
      <c r="E9" s="20">
        <v>24.0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>
      <c r="A10" s="3" t="s">
        <v>46</v>
      </c>
      <c r="B10" s="6">
        <v>45902.0</v>
      </c>
      <c r="C10" s="6">
        <v>45914.0</v>
      </c>
      <c r="D10" s="20">
        <v>29.0</v>
      </c>
      <c r="E10" s="20">
        <v>29.0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>
      <c r="A11" s="3" t="s">
        <v>48</v>
      </c>
      <c r="B11" s="4" t="s">
        <v>50</v>
      </c>
      <c r="C11" s="6">
        <v>45915.0</v>
      </c>
      <c r="D11" s="20">
        <v>31.0</v>
      </c>
      <c r="E11" s="20">
        <v>30.0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>
      <c r="A12" s="3" t="s">
        <v>51</v>
      </c>
      <c r="B12" s="6">
        <v>45922.0</v>
      </c>
      <c r="C12" s="6">
        <v>45924.0</v>
      </c>
      <c r="D12" s="4">
        <v>27.0</v>
      </c>
      <c r="E12" s="4">
        <v>31.0</v>
      </c>
    </row>
    <row r="13">
      <c r="A13" s="3" t="s">
        <v>53</v>
      </c>
      <c r="B13" s="6">
        <v>45864.0</v>
      </c>
      <c r="C13" s="6">
        <v>45930.0</v>
      </c>
      <c r="D13" s="4">
        <v>28.0</v>
      </c>
      <c r="E13" s="4">
        <v>27.0</v>
      </c>
    </row>
    <row r="14">
      <c r="A14" s="3" t="s">
        <v>57</v>
      </c>
      <c r="B14" s="6">
        <v>45893.0</v>
      </c>
      <c r="C14" s="6">
        <v>45934.0</v>
      </c>
      <c r="D14" s="4">
        <v>30.0</v>
      </c>
      <c r="E14" s="4">
        <v>28.0</v>
      </c>
    </row>
    <row r="15">
      <c r="A15" s="3" t="s">
        <v>59</v>
      </c>
      <c r="B15" s="6">
        <v>45917.0</v>
      </c>
      <c r="C15" s="6">
        <v>45934.0</v>
      </c>
      <c r="D15" s="4">
        <v>39.0</v>
      </c>
      <c r="E15" s="4">
        <v>25.0</v>
      </c>
    </row>
    <row r="16">
      <c r="A16" s="3" t="s">
        <v>61</v>
      </c>
      <c r="B16" s="8">
        <v>45950.0</v>
      </c>
      <c r="C16" s="6">
        <v>45936.0</v>
      </c>
      <c r="D16" s="4">
        <v>33.0</v>
      </c>
      <c r="E16" s="4">
        <v>29.0</v>
      </c>
    </row>
    <row r="17">
      <c r="A17" s="3" t="s">
        <v>63</v>
      </c>
      <c r="B17" s="8">
        <v>45945.0</v>
      </c>
      <c r="C17" s="8">
        <v>45944.0</v>
      </c>
      <c r="D17" s="4">
        <v>29.0</v>
      </c>
      <c r="E17" s="4">
        <v>24.0</v>
      </c>
    </row>
    <row r="18">
      <c r="A18" s="3" t="s">
        <v>65</v>
      </c>
      <c r="B18" s="6">
        <v>45933.0</v>
      </c>
      <c r="C18" s="8">
        <v>45946.0</v>
      </c>
      <c r="D18" s="4">
        <v>27.0</v>
      </c>
      <c r="E18" s="4">
        <v>22.0</v>
      </c>
    </row>
    <row r="19">
      <c r="A19" s="3" t="s">
        <v>70</v>
      </c>
      <c r="B19" s="6">
        <v>45925.0</v>
      </c>
      <c r="C19" s="8">
        <v>45947.0</v>
      </c>
      <c r="D19" s="4">
        <v>25.0</v>
      </c>
      <c r="E19" s="4">
        <v>27.0</v>
      </c>
    </row>
    <row r="20">
      <c r="A20" s="3" t="s">
        <v>72</v>
      </c>
      <c r="B20" s="8">
        <v>45940.0</v>
      </c>
      <c r="C20" s="8">
        <v>45947.0</v>
      </c>
      <c r="D20" s="4">
        <v>39.0</v>
      </c>
      <c r="E20" s="4">
        <v>30.0</v>
      </c>
    </row>
    <row r="21">
      <c r="A21" s="3" t="s">
        <v>74</v>
      </c>
      <c r="B21" s="6">
        <v>45907.0</v>
      </c>
      <c r="C21" s="8">
        <v>45950.0</v>
      </c>
      <c r="D21" s="4">
        <v>33.0</v>
      </c>
      <c r="E21" s="4">
        <v>29.0</v>
      </c>
    </row>
    <row r="22">
      <c r="A22" s="3" t="s">
        <v>77</v>
      </c>
      <c r="B22" s="6">
        <v>45920.0</v>
      </c>
      <c r="C22" s="8">
        <v>45958.0</v>
      </c>
      <c r="D22" s="4">
        <v>36.0</v>
      </c>
      <c r="E22" s="4">
        <v>30.0</v>
      </c>
    </row>
    <row r="23">
      <c r="A23" s="3" t="s">
        <v>79</v>
      </c>
      <c r="B23" s="8">
        <v>45951.0</v>
      </c>
      <c r="C23" s="6">
        <v>45962.0</v>
      </c>
      <c r="D23" s="4">
        <v>35.0</v>
      </c>
      <c r="E23" s="4">
        <v>31.0</v>
      </c>
    </row>
    <row r="24">
      <c r="A24" s="3" t="s">
        <v>82</v>
      </c>
      <c r="B24" s="6">
        <v>45911.0</v>
      </c>
      <c r="C24" s="4" t="s">
        <v>67</v>
      </c>
    </row>
    <row r="25">
      <c r="A25" s="3" t="s">
        <v>84</v>
      </c>
      <c r="B25" s="6">
        <v>45912.0</v>
      </c>
      <c r="C25" s="9"/>
    </row>
    <row r="26">
      <c r="A26" s="3" t="s">
        <v>86</v>
      </c>
      <c r="B26" s="6">
        <v>45913.0</v>
      </c>
    </row>
    <row r="27">
      <c r="A27" s="3" t="s">
        <v>89</v>
      </c>
      <c r="B27" s="6">
        <v>45914.0</v>
      </c>
    </row>
    <row r="28">
      <c r="A28" s="3" t="s">
        <v>91</v>
      </c>
      <c r="B28" s="6">
        <v>45915.0</v>
      </c>
    </row>
    <row r="29">
      <c r="A29" s="3" t="s">
        <v>94</v>
      </c>
      <c r="B29" s="6">
        <v>45916.0</v>
      </c>
    </row>
    <row r="30">
      <c r="A30" s="3" t="s">
        <v>96</v>
      </c>
      <c r="B30" s="6">
        <v>45917.0</v>
      </c>
    </row>
    <row r="31">
      <c r="A31" s="3" t="s">
        <v>99</v>
      </c>
      <c r="B31" s="6">
        <v>45918.0</v>
      </c>
    </row>
    <row r="32">
      <c r="A32" s="3" t="s">
        <v>101</v>
      </c>
      <c r="B32" s="6">
        <v>45919.0</v>
      </c>
    </row>
    <row r="33">
      <c r="A33" s="3" t="s">
        <v>104</v>
      </c>
      <c r="B33" s="6">
        <v>45920.0</v>
      </c>
    </row>
    <row r="34">
      <c r="A34" s="3" t="s">
        <v>106</v>
      </c>
      <c r="B34" s="6">
        <v>45921.0</v>
      </c>
    </row>
    <row r="35">
      <c r="A35" s="3" t="s">
        <v>108</v>
      </c>
      <c r="B35" s="6">
        <v>45922.0</v>
      </c>
    </row>
    <row r="36">
      <c r="A36" s="3" t="s">
        <v>111</v>
      </c>
      <c r="B36" s="6">
        <v>45923.0</v>
      </c>
    </row>
    <row r="37">
      <c r="A37" s="3" t="s">
        <v>113</v>
      </c>
      <c r="B37" s="6">
        <v>45924.0</v>
      </c>
    </row>
    <row r="38">
      <c r="A38" s="3" t="s">
        <v>136</v>
      </c>
      <c r="B38" s="6">
        <v>45925.0</v>
      </c>
    </row>
    <row r="39">
      <c r="A39" s="3" t="s">
        <v>137</v>
      </c>
      <c r="B39" s="6">
        <v>45926.0</v>
      </c>
    </row>
    <row r="40">
      <c r="A40" s="3" t="s">
        <v>138</v>
      </c>
      <c r="B40" s="6">
        <v>45927.0</v>
      </c>
    </row>
    <row r="41">
      <c r="A41" s="3" t="s">
        <v>139</v>
      </c>
      <c r="B41" s="6">
        <v>45928.0</v>
      </c>
    </row>
    <row r="42">
      <c r="A42" s="3" t="s">
        <v>140</v>
      </c>
      <c r="B42" s="6">
        <v>45929.0</v>
      </c>
    </row>
    <row r="43">
      <c r="A43" s="3" t="s">
        <v>141</v>
      </c>
      <c r="B43" s="6">
        <v>45930.0</v>
      </c>
    </row>
    <row r="44">
      <c r="A44" s="3" t="s">
        <v>142</v>
      </c>
      <c r="B44" s="6">
        <v>45931.0</v>
      </c>
    </row>
    <row r="45">
      <c r="A45" s="3" t="s">
        <v>143</v>
      </c>
      <c r="B45" s="6">
        <v>45932.0</v>
      </c>
    </row>
    <row r="46">
      <c r="A46" s="3" t="s">
        <v>144</v>
      </c>
      <c r="B46" s="6">
        <v>45933.0</v>
      </c>
    </row>
    <row r="47">
      <c r="A47" s="3" t="s">
        <v>145</v>
      </c>
      <c r="B47" s="6">
        <v>45934.0</v>
      </c>
    </row>
    <row r="48">
      <c r="A48" s="3" t="s">
        <v>146</v>
      </c>
      <c r="B48" s="6">
        <v>45935.0</v>
      </c>
    </row>
    <row r="49">
      <c r="A49" s="3" t="s">
        <v>147</v>
      </c>
      <c r="B49" s="6">
        <v>45936.0</v>
      </c>
    </row>
    <row r="50">
      <c r="A50" s="3" t="s">
        <v>148</v>
      </c>
      <c r="B50" s="6">
        <v>45937.0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3.5"/>
    <col customWidth="1" min="3" max="3" width="16.88"/>
    <col customWidth="1" min="4" max="4" width="16.25"/>
    <col customWidth="1" min="5" max="5" width="14.63"/>
    <col customWidth="1" min="6" max="6" width="23.5"/>
    <col customWidth="1" min="24" max="24" width="25.75"/>
  </cols>
  <sheetData>
    <row r="1">
      <c r="A1" s="23" t="s">
        <v>149</v>
      </c>
      <c r="B1" s="23" t="s">
        <v>150</v>
      </c>
      <c r="C1" s="23" t="s">
        <v>151</v>
      </c>
      <c r="D1" s="23" t="s">
        <v>152</v>
      </c>
      <c r="E1" s="23" t="s">
        <v>153</v>
      </c>
      <c r="F1" s="23" t="s">
        <v>154</v>
      </c>
      <c r="G1" s="24" t="s">
        <v>155</v>
      </c>
      <c r="H1" s="24" t="s">
        <v>156</v>
      </c>
      <c r="I1" s="2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3" t="s">
        <v>4</v>
      </c>
      <c r="Y1" s="23" t="s">
        <v>5</v>
      </c>
      <c r="Z1" s="23" t="s">
        <v>6</v>
      </c>
      <c r="AA1" s="26"/>
      <c r="AB1" s="26"/>
      <c r="AC1" s="26"/>
    </row>
    <row r="2">
      <c r="A2" s="27" t="s">
        <v>157</v>
      </c>
      <c r="B2" s="7">
        <f>COUNT('Customer information'!I2:I27)</f>
        <v>26</v>
      </c>
      <c r="C2" s="7">
        <f>AVERAGE('Customer information'!I2:I27)</f>
        <v>1881.346154</v>
      </c>
      <c r="D2" s="7">
        <f>MEDIAN('Customer information'!I2:I27)</f>
        <v>1705</v>
      </c>
      <c r="E2" s="7">
        <f>_xlfn.MODE.SNGL('Customer information'!I2:I27)</f>
        <v>1000</v>
      </c>
      <c r="F2" s="7">
        <f>_xlfn.STDEV.P('Customer information'!I2:I27)</f>
        <v>971.6872298</v>
      </c>
      <c r="G2" s="3">
        <v>1000.0</v>
      </c>
      <c r="H2" s="3">
        <v>8500.0</v>
      </c>
      <c r="X2" s="3" t="s">
        <v>16</v>
      </c>
      <c r="Y2" s="3" t="s">
        <v>17</v>
      </c>
      <c r="Z2" s="5">
        <v>45908.0</v>
      </c>
    </row>
    <row r="3">
      <c r="A3" s="27" t="s">
        <v>158</v>
      </c>
      <c r="B3" s="7">
        <f>COUNT('Customer information'!J2:J27)</f>
        <v>26</v>
      </c>
      <c r="C3" s="7">
        <f>AVERAGE('Customer information'!J2:J27)</f>
        <v>1057.692308</v>
      </c>
      <c r="D3" s="7">
        <f>MEDIAN('Customer information'!J2:J27)</f>
        <v>1000</v>
      </c>
      <c r="E3" s="7">
        <f>_xlfn.MODE.SNGL('Customer information'!J2:J27)</f>
        <v>1000</v>
      </c>
      <c r="F3" s="7">
        <f>_xlfn.STDEV.P('Customer information'!J2:J27)</f>
        <v>530.5462185</v>
      </c>
      <c r="G3" s="3">
        <v>300.0</v>
      </c>
      <c r="H3" s="3">
        <v>4000.0</v>
      </c>
      <c r="X3" s="3" t="s">
        <v>21</v>
      </c>
      <c r="Y3" s="3" t="s">
        <v>17</v>
      </c>
      <c r="Z3" s="6">
        <v>45870.0</v>
      </c>
    </row>
    <row r="4">
      <c r="A4" s="27" t="s">
        <v>159</v>
      </c>
      <c r="B4" s="28" t="s">
        <v>160</v>
      </c>
      <c r="C4" s="28" t="s">
        <v>161</v>
      </c>
      <c r="D4" s="29"/>
      <c r="E4" s="29"/>
      <c r="F4" s="28">
        <v>0.0</v>
      </c>
      <c r="G4" s="28">
        <v>2500.0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" t="s">
        <v>25</v>
      </c>
      <c r="Y4" s="3" t="s">
        <v>17</v>
      </c>
      <c r="Z4" s="8">
        <v>45948.0</v>
      </c>
      <c r="AA4" s="29"/>
      <c r="AB4" s="29"/>
      <c r="AC4" s="29"/>
    </row>
    <row r="5">
      <c r="A5" s="27" t="s">
        <v>162</v>
      </c>
      <c r="B5" s="28" t="s">
        <v>163</v>
      </c>
      <c r="C5" s="28" t="s">
        <v>164</v>
      </c>
      <c r="D5" s="7">
        <f>MEDIAN('Customer information'!K2:K27)</f>
        <v>750</v>
      </c>
      <c r="E5" s="7">
        <f>_xlfn.MODE.SNGL('Customer information'!K2:K27)</f>
        <v>0</v>
      </c>
      <c r="F5" s="28" t="s">
        <v>165</v>
      </c>
      <c r="G5" s="3">
        <v>3.0</v>
      </c>
      <c r="H5" s="3">
        <v>15.0</v>
      </c>
      <c r="X5" s="3" t="s">
        <v>29</v>
      </c>
      <c r="Y5" s="3" t="s">
        <v>17</v>
      </c>
      <c r="Z5" s="6">
        <v>45920.0</v>
      </c>
    </row>
    <row r="6">
      <c r="A6" s="30"/>
      <c r="X6" s="3" t="s">
        <v>33</v>
      </c>
      <c r="Y6" s="3" t="s">
        <v>34</v>
      </c>
      <c r="Z6" s="6">
        <v>45911.0</v>
      </c>
    </row>
    <row r="7">
      <c r="A7" s="30"/>
      <c r="X7" s="3" t="s">
        <v>38</v>
      </c>
      <c r="Y7" s="3" t="s">
        <v>17</v>
      </c>
      <c r="Z7" s="8">
        <v>45948.0</v>
      </c>
    </row>
    <row r="8">
      <c r="A8" s="30"/>
      <c r="X8" s="3" t="s">
        <v>41</v>
      </c>
      <c r="Y8" s="3" t="s">
        <v>17</v>
      </c>
      <c r="Z8" s="6">
        <v>45938.0</v>
      </c>
    </row>
    <row r="9">
      <c r="A9" s="30"/>
      <c r="X9" s="3" t="s">
        <v>44</v>
      </c>
      <c r="Y9" s="3" t="s">
        <v>17</v>
      </c>
      <c r="Z9" s="8">
        <v>45941.0</v>
      </c>
    </row>
    <row r="10">
      <c r="A10" s="30"/>
      <c r="X10" s="3" t="s">
        <v>38</v>
      </c>
      <c r="Y10" s="3" t="s">
        <v>17</v>
      </c>
      <c r="Z10" s="6">
        <v>45902.0</v>
      </c>
    </row>
    <row r="11">
      <c r="A11" s="30"/>
      <c r="X11" s="3" t="s">
        <v>38</v>
      </c>
      <c r="Y11" s="3" t="s">
        <v>17</v>
      </c>
      <c r="Z11" s="4" t="s">
        <v>50</v>
      </c>
    </row>
    <row r="12">
      <c r="A12" s="30"/>
      <c r="X12" s="3" t="s">
        <v>38</v>
      </c>
      <c r="Y12" s="3" t="s">
        <v>17</v>
      </c>
      <c r="Z12" s="6">
        <v>45922.0</v>
      </c>
    </row>
    <row r="13">
      <c r="A13" s="30"/>
      <c r="X13" s="3" t="s">
        <v>55</v>
      </c>
      <c r="Y13" s="3" t="s">
        <v>17</v>
      </c>
      <c r="Z13" s="6">
        <v>45864.0</v>
      </c>
    </row>
    <row r="14">
      <c r="A14" s="30"/>
      <c r="X14" s="3" t="s">
        <v>44</v>
      </c>
      <c r="Y14" s="3" t="s">
        <v>34</v>
      </c>
      <c r="Z14" s="6">
        <v>45893.0</v>
      </c>
    </row>
    <row r="15">
      <c r="A15" s="30"/>
      <c r="X15" s="3" t="s">
        <v>38</v>
      </c>
      <c r="Y15" s="3" t="s">
        <v>17</v>
      </c>
      <c r="Z15" s="6">
        <v>45917.0</v>
      </c>
    </row>
    <row r="16">
      <c r="A16" s="30"/>
      <c r="X16" s="3" t="s">
        <v>41</v>
      </c>
      <c r="Y16" s="3" t="s">
        <v>17</v>
      </c>
      <c r="Z16" s="8">
        <v>45950.0</v>
      </c>
    </row>
    <row r="17">
      <c r="A17" s="30"/>
      <c r="X17" s="3" t="s">
        <v>44</v>
      </c>
      <c r="Y17" s="3" t="s">
        <v>17</v>
      </c>
      <c r="Z17" s="8">
        <v>45945.0</v>
      </c>
    </row>
    <row r="18">
      <c r="A18" s="30"/>
      <c r="X18" s="3" t="s">
        <v>69</v>
      </c>
      <c r="Y18" s="3" t="s">
        <v>17</v>
      </c>
      <c r="Z18" s="6">
        <v>45933.0</v>
      </c>
    </row>
    <row r="19">
      <c r="A19" s="30"/>
      <c r="X19" s="3" t="s">
        <v>44</v>
      </c>
      <c r="Y19" s="3" t="s">
        <v>17</v>
      </c>
      <c r="Z19" s="6">
        <v>45925.0</v>
      </c>
    </row>
    <row r="20">
      <c r="A20" s="30"/>
      <c r="X20" s="3" t="s">
        <v>41</v>
      </c>
      <c r="Y20" s="3" t="s">
        <v>17</v>
      </c>
      <c r="Z20" s="8">
        <v>45940.0</v>
      </c>
    </row>
    <row r="21">
      <c r="A21" s="30"/>
      <c r="X21" s="3" t="s">
        <v>76</v>
      </c>
      <c r="Y21" s="3" t="s">
        <v>17</v>
      </c>
      <c r="Z21" s="6">
        <v>45907.0</v>
      </c>
    </row>
    <row r="22">
      <c r="A22" s="30"/>
      <c r="X22" s="3" t="s">
        <v>44</v>
      </c>
      <c r="Y22" s="3" t="s">
        <v>17</v>
      </c>
      <c r="Z22" s="6">
        <v>45920.0</v>
      </c>
    </row>
    <row r="23">
      <c r="A23" s="30"/>
      <c r="X23" s="3" t="s">
        <v>41</v>
      </c>
      <c r="Y23" s="3" t="s">
        <v>17</v>
      </c>
      <c r="Z23" s="8">
        <v>45951.0</v>
      </c>
    </row>
    <row r="24">
      <c r="A24" s="30"/>
      <c r="X24" s="3" t="s">
        <v>38</v>
      </c>
      <c r="Y24" s="3" t="s">
        <v>17</v>
      </c>
      <c r="Z24" s="6">
        <v>45911.0</v>
      </c>
    </row>
    <row r="25">
      <c r="A25" s="30"/>
      <c r="X25" s="3" t="s">
        <v>41</v>
      </c>
      <c r="Y25" s="3" t="s">
        <v>17</v>
      </c>
      <c r="Z25" s="6">
        <v>45914.0</v>
      </c>
    </row>
    <row r="26">
      <c r="A26" s="30"/>
      <c r="X26" s="3" t="s">
        <v>44</v>
      </c>
      <c r="Y26" s="3" t="s">
        <v>17</v>
      </c>
      <c r="Z26" s="6">
        <v>45815.0</v>
      </c>
    </row>
    <row r="27">
      <c r="A27" s="30"/>
      <c r="X27" s="3" t="s">
        <v>41</v>
      </c>
      <c r="Y27" s="3" t="s">
        <v>17</v>
      </c>
      <c r="Z27" s="6">
        <v>45865.0</v>
      </c>
    </row>
    <row r="28">
      <c r="A28" s="30"/>
      <c r="X28" s="3" t="s">
        <v>44</v>
      </c>
      <c r="Y28" s="3" t="s">
        <v>34</v>
      </c>
      <c r="Z28" s="6">
        <v>45828.0</v>
      </c>
    </row>
    <row r="29">
      <c r="A29" s="30"/>
      <c r="X29" s="3" t="s">
        <v>38</v>
      </c>
      <c r="Y29" s="3" t="s">
        <v>17</v>
      </c>
      <c r="Z29" s="6">
        <v>45848.0</v>
      </c>
    </row>
    <row r="30">
      <c r="A30" s="30"/>
      <c r="X30" s="3" t="s">
        <v>44</v>
      </c>
      <c r="Y30" s="3" t="s">
        <v>17</v>
      </c>
      <c r="Z30" s="6">
        <v>45933.0</v>
      </c>
    </row>
    <row r="31">
      <c r="A31" s="30"/>
      <c r="X31" s="3" t="s">
        <v>38</v>
      </c>
      <c r="Y31" s="3" t="s">
        <v>17</v>
      </c>
      <c r="Z31" s="6">
        <v>45909.0</v>
      </c>
    </row>
    <row r="32">
      <c r="A32" s="30"/>
      <c r="X32" s="3" t="s">
        <v>41</v>
      </c>
      <c r="Y32" s="3" t="s">
        <v>17</v>
      </c>
      <c r="Z32" s="8">
        <v>45945.0</v>
      </c>
    </row>
    <row r="33">
      <c r="A33" s="30"/>
      <c r="X33" s="3" t="s">
        <v>41</v>
      </c>
      <c r="Y33" s="3" t="s">
        <v>34</v>
      </c>
      <c r="Z33" s="8">
        <v>45946.0</v>
      </c>
    </row>
    <row r="34">
      <c r="A34" s="30"/>
      <c r="X34" s="3" t="s">
        <v>38</v>
      </c>
      <c r="Y34" s="3" t="s">
        <v>17</v>
      </c>
      <c r="Z34" s="6">
        <v>45890.0</v>
      </c>
    </row>
    <row r="35">
      <c r="A35" s="30"/>
      <c r="X35" s="3" t="s">
        <v>33</v>
      </c>
      <c r="Y35" s="3" t="s">
        <v>17</v>
      </c>
      <c r="Z35" s="6">
        <v>45891.0</v>
      </c>
    </row>
    <row r="36">
      <c r="A36" s="30"/>
      <c r="X36" s="3" t="s">
        <v>38</v>
      </c>
      <c r="Y36" s="3" t="s">
        <v>17</v>
      </c>
      <c r="Z36" s="6">
        <v>45910.0</v>
      </c>
    </row>
    <row r="37">
      <c r="A37" s="30"/>
      <c r="X37" s="3" t="s">
        <v>38</v>
      </c>
      <c r="Y37" s="3" t="s">
        <v>17</v>
      </c>
      <c r="Z37" s="6">
        <v>45912.0</v>
      </c>
    </row>
    <row r="38">
      <c r="A38" s="30"/>
      <c r="Z38" s="9"/>
    </row>
    <row r="39">
      <c r="A39" s="30"/>
      <c r="Z39" s="9"/>
    </row>
    <row r="40">
      <c r="A40" s="30"/>
      <c r="Z40" s="9"/>
    </row>
    <row r="41">
      <c r="A41" s="30"/>
      <c r="Z41" s="9"/>
    </row>
    <row r="42">
      <c r="A42" s="30"/>
      <c r="Z42" s="9"/>
    </row>
    <row r="43">
      <c r="A43" s="30"/>
      <c r="Z43" s="9"/>
    </row>
    <row r="44">
      <c r="A44" s="30"/>
      <c r="Z44" s="9"/>
    </row>
    <row r="45">
      <c r="A45" s="30"/>
      <c r="Z45" s="9"/>
    </row>
    <row r="46">
      <c r="A46" s="30"/>
      <c r="Z46" s="9"/>
    </row>
    <row r="47">
      <c r="A47" s="30"/>
      <c r="Z47" s="9"/>
    </row>
    <row r="48">
      <c r="A48" s="30"/>
      <c r="Z48" s="9"/>
    </row>
    <row r="49">
      <c r="A49" s="30"/>
      <c r="Z49" s="9"/>
    </row>
    <row r="50">
      <c r="A50" s="30"/>
      <c r="Z50" s="9"/>
    </row>
    <row r="51">
      <c r="A51" s="30"/>
      <c r="Z51" s="9"/>
    </row>
    <row r="52">
      <c r="A52" s="30"/>
      <c r="Z52" s="9"/>
    </row>
    <row r="53">
      <c r="A53" s="30"/>
      <c r="Z53" s="9"/>
    </row>
    <row r="54">
      <c r="A54" s="30"/>
      <c r="Z54" s="9"/>
    </row>
    <row r="55">
      <c r="A55" s="30"/>
      <c r="Z55" s="9"/>
    </row>
    <row r="56">
      <c r="A56" s="30"/>
      <c r="Z56" s="9"/>
    </row>
    <row r="57">
      <c r="A57" s="30"/>
      <c r="Z57" s="9"/>
    </row>
    <row r="58">
      <c r="A58" s="30"/>
      <c r="Z58" s="9"/>
    </row>
    <row r="59">
      <c r="A59" s="30"/>
      <c r="Z59" s="9"/>
    </row>
    <row r="60">
      <c r="A60" s="30"/>
      <c r="Z60" s="9"/>
    </row>
    <row r="61">
      <c r="A61" s="30"/>
      <c r="Z61" s="9"/>
    </row>
    <row r="62">
      <c r="A62" s="30"/>
      <c r="Z62" s="9"/>
    </row>
    <row r="63">
      <c r="A63" s="30"/>
      <c r="Z63" s="9"/>
    </row>
    <row r="64">
      <c r="A64" s="30"/>
      <c r="Z64" s="9"/>
    </row>
    <row r="65">
      <c r="A65" s="30"/>
      <c r="Z65" s="9"/>
    </row>
    <row r="66">
      <c r="A66" s="30"/>
      <c r="Z66" s="9"/>
    </row>
    <row r="67">
      <c r="A67" s="30"/>
      <c r="Z67" s="9"/>
    </row>
    <row r="68">
      <c r="A68" s="30"/>
      <c r="Z68" s="9"/>
    </row>
    <row r="69">
      <c r="A69" s="30"/>
      <c r="Z69" s="9"/>
    </row>
    <row r="70">
      <c r="A70" s="30"/>
      <c r="Z70" s="9"/>
    </row>
    <row r="71">
      <c r="A71" s="30"/>
      <c r="Z71" s="9"/>
    </row>
    <row r="72">
      <c r="A72" s="30"/>
      <c r="Z72" s="9"/>
    </row>
    <row r="73">
      <c r="A73" s="30"/>
      <c r="Z73" s="9"/>
    </row>
    <row r="74">
      <c r="A74" s="30"/>
      <c r="Z74" s="9"/>
    </row>
    <row r="75">
      <c r="A75" s="30"/>
      <c r="Z75" s="9"/>
    </row>
    <row r="76">
      <c r="A76" s="30"/>
      <c r="Z76" s="9"/>
    </row>
    <row r="77">
      <c r="A77" s="30"/>
      <c r="Z77" s="9"/>
    </row>
    <row r="78">
      <c r="A78" s="30"/>
      <c r="Z78" s="9"/>
    </row>
    <row r="79">
      <c r="A79" s="30"/>
      <c r="Z79" s="9"/>
    </row>
    <row r="80">
      <c r="A80" s="30"/>
      <c r="Z80" s="9"/>
    </row>
    <row r="81">
      <c r="A81" s="30"/>
      <c r="Z81" s="9"/>
    </row>
    <row r="82">
      <c r="A82" s="30"/>
      <c r="Z82" s="9"/>
    </row>
    <row r="83">
      <c r="A83" s="30"/>
      <c r="Z83" s="9"/>
    </row>
    <row r="84">
      <c r="A84" s="30"/>
      <c r="Z84" s="9"/>
    </row>
    <row r="85">
      <c r="A85" s="30"/>
      <c r="Z85" s="9"/>
    </row>
    <row r="86">
      <c r="A86" s="30"/>
      <c r="Z86" s="9"/>
    </row>
    <row r="87">
      <c r="A87" s="30"/>
      <c r="Z87" s="9"/>
    </row>
    <row r="88">
      <c r="A88" s="30"/>
      <c r="Z88" s="9"/>
    </row>
    <row r="89">
      <c r="A89" s="30"/>
      <c r="Z89" s="9"/>
    </row>
    <row r="90">
      <c r="A90" s="30"/>
      <c r="Z90" s="9"/>
    </row>
    <row r="91">
      <c r="A91" s="30"/>
      <c r="Z91" s="9"/>
    </row>
    <row r="92">
      <c r="A92" s="30"/>
      <c r="Z92" s="9"/>
    </row>
    <row r="93">
      <c r="A93" s="30"/>
      <c r="Z93" s="9"/>
    </row>
    <row r="94">
      <c r="A94" s="30"/>
      <c r="Z94" s="9"/>
    </row>
    <row r="95">
      <c r="A95" s="30"/>
      <c r="Z95" s="9"/>
    </row>
    <row r="96">
      <c r="A96" s="30"/>
      <c r="Z96" s="9"/>
    </row>
    <row r="97">
      <c r="A97" s="30"/>
      <c r="Z97" s="9"/>
    </row>
    <row r="98">
      <c r="A98" s="30"/>
      <c r="Z98" s="9"/>
    </row>
    <row r="99">
      <c r="A99" s="30"/>
      <c r="Z99" s="9"/>
    </row>
    <row r="100">
      <c r="A100" s="30"/>
      <c r="Z100" s="9"/>
    </row>
    <row r="101">
      <c r="A101" s="30"/>
      <c r="Z101" s="9"/>
    </row>
    <row r="102">
      <c r="A102" s="30"/>
      <c r="Z102" s="9"/>
    </row>
    <row r="103">
      <c r="A103" s="30"/>
      <c r="Z103" s="9"/>
    </row>
    <row r="104">
      <c r="A104" s="30"/>
      <c r="Z104" s="9"/>
    </row>
    <row r="105">
      <c r="A105" s="30"/>
      <c r="Z105" s="9"/>
    </row>
    <row r="106">
      <c r="A106" s="30"/>
      <c r="Z106" s="9"/>
    </row>
    <row r="107">
      <c r="A107" s="30"/>
      <c r="Z107" s="9"/>
    </row>
    <row r="108">
      <c r="A108" s="30"/>
      <c r="Z108" s="9"/>
    </row>
    <row r="109">
      <c r="A109" s="30"/>
      <c r="Z109" s="9"/>
    </row>
    <row r="110">
      <c r="A110" s="30"/>
      <c r="Z110" s="9"/>
    </row>
    <row r="111">
      <c r="A111" s="30"/>
      <c r="Z111" s="9"/>
    </row>
    <row r="112">
      <c r="A112" s="30"/>
      <c r="Z112" s="9"/>
    </row>
    <row r="113">
      <c r="A113" s="30"/>
      <c r="Z113" s="9"/>
    </row>
    <row r="114">
      <c r="A114" s="30"/>
      <c r="Z114" s="9"/>
    </row>
    <row r="115">
      <c r="A115" s="30"/>
      <c r="Z115" s="9"/>
    </row>
    <row r="116">
      <c r="A116" s="30"/>
      <c r="Z116" s="9"/>
    </row>
    <row r="117">
      <c r="A117" s="30"/>
      <c r="Z117" s="9"/>
    </row>
    <row r="118">
      <c r="A118" s="30"/>
      <c r="Z118" s="9"/>
    </row>
    <row r="119">
      <c r="A119" s="30"/>
      <c r="Z119" s="9"/>
    </row>
    <row r="120">
      <c r="A120" s="30"/>
      <c r="Z120" s="9"/>
    </row>
    <row r="121">
      <c r="A121" s="30"/>
      <c r="Z121" s="9"/>
    </row>
    <row r="122">
      <c r="A122" s="30"/>
      <c r="Z122" s="9"/>
    </row>
    <row r="123">
      <c r="A123" s="30"/>
      <c r="Z123" s="9"/>
    </row>
    <row r="124">
      <c r="A124" s="30"/>
      <c r="Z124" s="9"/>
    </row>
    <row r="125">
      <c r="A125" s="30"/>
      <c r="Z125" s="9"/>
    </row>
    <row r="126">
      <c r="A126" s="30"/>
      <c r="Z126" s="9"/>
    </row>
    <row r="127">
      <c r="A127" s="30"/>
      <c r="Z127" s="9"/>
    </row>
    <row r="128">
      <c r="A128" s="30"/>
      <c r="Z128" s="9"/>
    </row>
    <row r="129">
      <c r="A129" s="30"/>
      <c r="Z129" s="9"/>
    </row>
    <row r="130">
      <c r="A130" s="30"/>
      <c r="Z130" s="9"/>
    </row>
    <row r="131">
      <c r="A131" s="30"/>
      <c r="Z131" s="9"/>
    </row>
    <row r="132">
      <c r="A132" s="30"/>
      <c r="Z132" s="9"/>
    </row>
    <row r="133">
      <c r="A133" s="30"/>
      <c r="Z133" s="9"/>
    </row>
    <row r="134">
      <c r="A134" s="30"/>
      <c r="Z134" s="9"/>
    </row>
    <row r="135">
      <c r="A135" s="30"/>
      <c r="Z135" s="9"/>
    </row>
    <row r="136">
      <c r="A136" s="30"/>
      <c r="Z136" s="9"/>
    </row>
    <row r="137">
      <c r="A137" s="30"/>
      <c r="Z137" s="9"/>
    </row>
    <row r="138">
      <c r="A138" s="30"/>
      <c r="Z138" s="9"/>
    </row>
    <row r="139">
      <c r="A139" s="30"/>
      <c r="Z139" s="9"/>
    </row>
    <row r="140">
      <c r="A140" s="30"/>
      <c r="Z140" s="9"/>
    </row>
    <row r="141">
      <c r="A141" s="30"/>
      <c r="Z141" s="9"/>
    </row>
    <row r="142">
      <c r="A142" s="30"/>
      <c r="Z142" s="9"/>
    </row>
    <row r="143">
      <c r="A143" s="30"/>
      <c r="Z143" s="9"/>
    </row>
    <row r="144">
      <c r="A144" s="30"/>
      <c r="Z144" s="9"/>
    </row>
    <row r="145">
      <c r="A145" s="30"/>
      <c r="Z145" s="9"/>
    </row>
    <row r="146">
      <c r="A146" s="30"/>
      <c r="Z146" s="9"/>
    </row>
    <row r="147">
      <c r="A147" s="30"/>
      <c r="Z147" s="9"/>
    </row>
    <row r="148">
      <c r="A148" s="30"/>
      <c r="Z148" s="9"/>
    </row>
    <row r="149">
      <c r="A149" s="30"/>
      <c r="Z149" s="9"/>
    </row>
    <row r="150">
      <c r="A150" s="30"/>
      <c r="Z150" s="9"/>
    </row>
    <row r="151">
      <c r="A151" s="30"/>
      <c r="Z151" s="9"/>
    </row>
    <row r="152">
      <c r="A152" s="30"/>
      <c r="Z152" s="9"/>
    </row>
    <row r="153">
      <c r="A153" s="30"/>
      <c r="Z153" s="9"/>
    </row>
    <row r="154">
      <c r="A154" s="30"/>
      <c r="Z154" s="9"/>
    </row>
    <row r="155">
      <c r="A155" s="30"/>
      <c r="Z155" s="9"/>
    </row>
    <row r="156">
      <c r="A156" s="30"/>
      <c r="Z156" s="9"/>
    </row>
    <row r="157">
      <c r="A157" s="30"/>
      <c r="Z157" s="9"/>
    </row>
    <row r="158">
      <c r="A158" s="30"/>
      <c r="Z158" s="9"/>
    </row>
    <row r="159">
      <c r="A159" s="30"/>
      <c r="Z159" s="9"/>
    </row>
    <row r="160">
      <c r="A160" s="30"/>
      <c r="Z160" s="9"/>
    </row>
    <row r="161">
      <c r="A161" s="30"/>
      <c r="Z161" s="9"/>
    </row>
    <row r="162">
      <c r="A162" s="30"/>
      <c r="Z162" s="9"/>
    </row>
    <row r="163">
      <c r="A163" s="30"/>
      <c r="Z163" s="9"/>
    </row>
    <row r="164">
      <c r="A164" s="30"/>
      <c r="Z164" s="9"/>
    </row>
    <row r="165">
      <c r="A165" s="30"/>
      <c r="Z165" s="9"/>
    </row>
    <row r="166">
      <c r="A166" s="30"/>
      <c r="Z166" s="9"/>
    </row>
    <row r="167">
      <c r="A167" s="30"/>
      <c r="Z167" s="9"/>
    </row>
    <row r="168">
      <c r="A168" s="30"/>
      <c r="Z168" s="9"/>
    </row>
    <row r="169">
      <c r="A169" s="30"/>
      <c r="Z169" s="9"/>
    </row>
    <row r="170">
      <c r="A170" s="30"/>
      <c r="Z170" s="9"/>
    </row>
    <row r="171">
      <c r="A171" s="30"/>
      <c r="Z171" s="9"/>
    </row>
    <row r="172">
      <c r="A172" s="30"/>
      <c r="Z172" s="9"/>
    </row>
    <row r="173">
      <c r="A173" s="30"/>
      <c r="Z173" s="9"/>
    </row>
    <row r="174">
      <c r="A174" s="30"/>
      <c r="Z174" s="9"/>
    </row>
    <row r="175">
      <c r="A175" s="30"/>
      <c r="Z175" s="9"/>
    </row>
    <row r="176">
      <c r="A176" s="30"/>
      <c r="Z176" s="9"/>
    </row>
    <row r="177">
      <c r="A177" s="30"/>
      <c r="Z177" s="9"/>
    </row>
    <row r="178">
      <c r="A178" s="30"/>
      <c r="Z178" s="9"/>
    </row>
    <row r="179">
      <c r="A179" s="30"/>
      <c r="Z179" s="9"/>
    </row>
    <row r="180">
      <c r="A180" s="30"/>
      <c r="Z180" s="9"/>
    </row>
    <row r="181">
      <c r="A181" s="30"/>
      <c r="Z181" s="9"/>
    </row>
    <row r="182">
      <c r="A182" s="30"/>
      <c r="Z182" s="9"/>
    </row>
    <row r="183">
      <c r="A183" s="30"/>
      <c r="Z183" s="9"/>
    </row>
    <row r="184">
      <c r="A184" s="30"/>
      <c r="Z184" s="9"/>
    </row>
    <row r="185">
      <c r="A185" s="30"/>
      <c r="Z185" s="9"/>
    </row>
    <row r="186">
      <c r="A186" s="30"/>
      <c r="Z186" s="9"/>
    </row>
    <row r="187">
      <c r="A187" s="30"/>
      <c r="Z187" s="9"/>
    </row>
    <row r="188">
      <c r="A188" s="30"/>
      <c r="Z188" s="9"/>
    </row>
    <row r="189">
      <c r="A189" s="30"/>
      <c r="Z189" s="9"/>
    </row>
    <row r="190">
      <c r="A190" s="30"/>
      <c r="Z190" s="9"/>
    </row>
    <row r="191">
      <c r="A191" s="30"/>
      <c r="Z191" s="9"/>
    </row>
    <row r="192">
      <c r="A192" s="30"/>
      <c r="Z192" s="9"/>
    </row>
    <row r="193">
      <c r="A193" s="30"/>
      <c r="Z193" s="9"/>
    </row>
    <row r="194">
      <c r="A194" s="30"/>
      <c r="Z194" s="9"/>
    </row>
    <row r="195">
      <c r="A195" s="30"/>
      <c r="Z195" s="9"/>
    </row>
    <row r="196">
      <c r="A196" s="30"/>
      <c r="Z196" s="9"/>
    </row>
    <row r="197">
      <c r="A197" s="30"/>
      <c r="Z197" s="9"/>
    </row>
    <row r="198">
      <c r="A198" s="30"/>
      <c r="Z198" s="9"/>
    </row>
    <row r="199">
      <c r="A199" s="30"/>
      <c r="Z199" s="9"/>
    </row>
    <row r="200">
      <c r="A200" s="30"/>
      <c r="Z200" s="9"/>
    </row>
    <row r="201">
      <c r="A201" s="30"/>
      <c r="Z201" s="9"/>
    </row>
    <row r="202">
      <c r="A202" s="30"/>
      <c r="Z202" s="9"/>
    </row>
    <row r="203">
      <c r="A203" s="30"/>
      <c r="Z203" s="9"/>
    </row>
    <row r="204">
      <c r="A204" s="30"/>
      <c r="Z204" s="9"/>
    </row>
    <row r="205">
      <c r="A205" s="30"/>
      <c r="Z205" s="9"/>
    </row>
    <row r="206">
      <c r="A206" s="30"/>
      <c r="Z206" s="9"/>
    </row>
    <row r="207">
      <c r="A207" s="30"/>
      <c r="Z207" s="9"/>
    </row>
    <row r="208">
      <c r="A208" s="30"/>
      <c r="Z208" s="9"/>
    </row>
    <row r="209">
      <c r="A209" s="30"/>
      <c r="Z209" s="9"/>
    </row>
    <row r="210">
      <c r="A210" s="30"/>
      <c r="Z210" s="9"/>
    </row>
    <row r="211">
      <c r="A211" s="30"/>
      <c r="Z211" s="9"/>
    </row>
    <row r="212">
      <c r="A212" s="30"/>
      <c r="Z212" s="9"/>
    </row>
    <row r="213">
      <c r="A213" s="30"/>
      <c r="Z213" s="9"/>
    </row>
    <row r="214">
      <c r="A214" s="30"/>
      <c r="Z214" s="9"/>
    </row>
    <row r="215">
      <c r="A215" s="30"/>
      <c r="Z215" s="9"/>
    </row>
    <row r="216">
      <c r="A216" s="30"/>
      <c r="Z216" s="9"/>
    </row>
    <row r="217">
      <c r="A217" s="30"/>
      <c r="Z217" s="9"/>
    </row>
    <row r="218">
      <c r="A218" s="30"/>
      <c r="Z218" s="9"/>
    </row>
    <row r="219">
      <c r="A219" s="30"/>
      <c r="Z219" s="9"/>
    </row>
    <row r="220">
      <c r="A220" s="30"/>
      <c r="Z220" s="9"/>
    </row>
    <row r="221">
      <c r="A221" s="30"/>
      <c r="Z221" s="9"/>
    </row>
    <row r="222">
      <c r="A222" s="30"/>
      <c r="Z222" s="9"/>
    </row>
    <row r="223">
      <c r="A223" s="30"/>
      <c r="Z223" s="9"/>
    </row>
    <row r="224">
      <c r="A224" s="30"/>
      <c r="Z224" s="9"/>
    </row>
    <row r="225">
      <c r="A225" s="30"/>
      <c r="Z225" s="9"/>
    </row>
    <row r="226">
      <c r="A226" s="30"/>
      <c r="Z226" s="9"/>
    </row>
    <row r="227">
      <c r="A227" s="30"/>
      <c r="Z227" s="9"/>
    </row>
    <row r="228">
      <c r="A228" s="30"/>
      <c r="Z228" s="9"/>
    </row>
    <row r="229">
      <c r="A229" s="30"/>
      <c r="Z229" s="9"/>
    </row>
    <row r="230">
      <c r="A230" s="30"/>
      <c r="Z230" s="9"/>
    </row>
    <row r="231">
      <c r="A231" s="30"/>
      <c r="Z231" s="9"/>
    </row>
    <row r="232">
      <c r="A232" s="30"/>
      <c r="Z232" s="9"/>
    </row>
    <row r="233">
      <c r="A233" s="30"/>
      <c r="Z233" s="9"/>
    </row>
    <row r="234">
      <c r="A234" s="30"/>
      <c r="Z234" s="9"/>
    </row>
    <row r="235">
      <c r="A235" s="30"/>
      <c r="Z235" s="9"/>
    </row>
    <row r="236">
      <c r="A236" s="30"/>
      <c r="Z236" s="9"/>
    </row>
    <row r="237">
      <c r="A237" s="30"/>
      <c r="Z237" s="9"/>
    </row>
    <row r="238">
      <c r="A238" s="30"/>
      <c r="Z238" s="9"/>
    </row>
    <row r="239">
      <c r="A239" s="30"/>
      <c r="Z239" s="9"/>
    </row>
    <row r="240">
      <c r="A240" s="30"/>
      <c r="Z240" s="9"/>
    </row>
    <row r="241">
      <c r="A241" s="30"/>
      <c r="Z241" s="9"/>
    </row>
    <row r="242">
      <c r="A242" s="30"/>
      <c r="Z242" s="9"/>
    </row>
    <row r="243">
      <c r="A243" s="30"/>
      <c r="Z243" s="9"/>
    </row>
    <row r="244">
      <c r="A244" s="30"/>
      <c r="Z244" s="9"/>
    </row>
    <row r="245">
      <c r="A245" s="30"/>
      <c r="Z245" s="9"/>
    </row>
    <row r="246">
      <c r="A246" s="30"/>
      <c r="Z246" s="9"/>
    </row>
    <row r="247">
      <c r="A247" s="30"/>
      <c r="Z247" s="9"/>
    </row>
    <row r="248">
      <c r="A248" s="30"/>
      <c r="Z248" s="9"/>
    </row>
    <row r="249">
      <c r="A249" s="30"/>
      <c r="Z249" s="9"/>
    </row>
    <row r="250">
      <c r="A250" s="30"/>
      <c r="Z250" s="9"/>
    </row>
    <row r="251">
      <c r="A251" s="30"/>
      <c r="Z251" s="9"/>
    </row>
    <row r="252">
      <c r="A252" s="30"/>
      <c r="Z252" s="9"/>
    </row>
    <row r="253">
      <c r="A253" s="30"/>
      <c r="Z253" s="9"/>
    </row>
    <row r="254">
      <c r="A254" s="30"/>
      <c r="Z254" s="9"/>
    </row>
    <row r="255">
      <c r="A255" s="30"/>
      <c r="Z255" s="9"/>
    </row>
    <row r="256">
      <c r="A256" s="30"/>
      <c r="Z256" s="9"/>
    </row>
    <row r="257">
      <c r="A257" s="30"/>
      <c r="Z257" s="9"/>
    </row>
    <row r="258">
      <c r="A258" s="30"/>
      <c r="Z258" s="9"/>
    </row>
    <row r="259">
      <c r="A259" s="30"/>
      <c r="Z259" s="9"/>
    </row>
    <row r="260">
      <c r="A260" s="30"/>
      <c r="Z260" s="9"/>
    </row>
    <row r="261">
      <c r="A261" s="30"/>
      <c r="Z261" s="9"/>
    </row>
    <row r="262">
      <c r="A262" s="30"/>
      <c r="Z262" s="9"/>
    </row>
    <row r="263">
      <c r="A263" s="30"/>
      <c r="Z263" s="9"/>
    </row>
    <row r="264">
      <c r="A264" s="30"/>
      <c r="Z264" s="9"/>
    </row>
    <row r="265">
      <c r="A265" s="30"/>
      <c r="Z265" s="9"/>
    </row>
    <row r="266">
      <c r="A266" s="30"/>
      <c r="Z266" s="9"/>
    </row>
    <row r="267">
      <c r="A267" s="30"/>
      <c r="Z267" s="9"/>
    </row>
    <row r="268">
      <c r="A268" s="30"/>
      <c r="Z268" s="9"/>
    </row>
    <row r="269">
      <c r="A269" s="30"/>
      <c r="Z269" s="9"/>
    </row>
    <row r="270">
      <c r="A270" s="30"/>
      <c r="Z270" s="9"/>
    </row>
    <row r="271">
      <c r="A271" s="30"/>
      <c r="Z271" s="9"/>
    </row>
    <row r="272">
      <c r="A272" s="30"/>
      <c r="Z272" s="9"/>
    </row>
    <row r="273">
      <c r="A273" s="30"/>
      <c r="Z273" s="9"/>
    </row>
    <row r="274">
      <c r="A274" s="30"/>
      <c r="Z274" s="9"/>
    </row>
    <row r="275">
      <c r="A275" s="30"/>
      <c r="Z275" s="9"/>
    </row>
    <row r="276">
      <c r="A276" s="30"/>
      <c r="Z276" s="9"/>
    </row>
    <row r="277">
      <c r="A277" s="30"/>
      <c r="Z277" s="9"/>
    </row>
    <row r="278">
      <c r="A278" s="30"/>
      <c r="Z278" s="9"/>
    </row>
    <row r="279">
      <c r="A279" s="30"/>
      <c r="Z279" s="9"/>
    </row>
    <row r="280">
      <c r="A280" s="30"/>
      <c r="Z280" s="9"/>
    </row>
    <row r="281">
      <c r="A281" s="30"/>
      <c r="Z281" s="9"/>
    </row>
    <row r="282">
      <c r="A282" s="30"/>
      <c r="Z282" s="9"/>
    </row>
    <row r="283">
      <c r="A283" s="30"/>
      <c r="Z283" s="9"/>
    </row>
    <row r="284">
      <c r="A284" s="30"/>
      <c r="Z284" s="9"/>
    </row>
    <row r="285">
      <c r="A285" s="30"/>
      <c r="Z285" s="9"/>
    </row>
    <row r="286">
      <c r="A286" s="30"/>
      <c r="Z286" s="9"/>
    </row>
    <row r="287">
      <c r="A287" s="30"/>
      <c r="Z287" s="9"/>
    </row>
    <row r="288">
      <c r="A288" s="30"/>
      <c r="Z288" s="9"/>
    </row>
    <row r="289">
      <c r="A289" s="30"/>
      <c r="Z289" s="9"/>
    </row>
    <row r="290">
      <c r="A290" s="30"/>
      <c r="Z290" s="9"/>
    </row>
    <row r="291">
      <c r="A291" s="30"/>
      <c r="Z291" s="9"/>
    </row>
    <row r="292">
      <c r="A292" s="30"/>
      <c r="Z292" s="9"/>
    </row>
    <row r="293">
      <c r="A293" s="30"/>
      <c r="Z293" s="9"/>
    </row>
    <row r="294">
      <c r="A294" s="30"/>
      <c r="Z294" s="9"/>
    </row>
    <row r="295">
      <c r="A295" s="30"/>
      <c r="Z295" s="9"/>
    </row>
    <row r="296">
      <c r="A296" s="30"/>
      <c r="Z296" s="9"/>
    </row>
    <row r="297">
      <c r="A297" s="30"/>
      <c r="Z297" s="9"/>
    </row>
    <row r="298">
      <c r="A298" s="30"/>
      <c r="Z298" s="9"/>
    </row>
    <row r="299">
      <c r="A299" s="30"/>
      <c r="Z299" s="9"/>
    </row>
    <row r="300">
      <c r="A300" s="30"/>
      <c r="Z300" s="9"/>
    </row>
    <row r="301">
      <c r="A301" s="30"/>
      <c r="Z301" s="9"/>
    </row>
    <row r="302">
      <c r="A302" s="30"/>
      <c r="Z302" s="9"/>
    </row>
    <row r="303">
      <c r="A303" s="30"/>
      <c r="Z303" s="9"/>
    </row>
    <row r="304">
      <c r="A304" s="30"/>
      <c r="Z304" s="9"/>
    </row>
    <row r="305">
      <c r="A305" s="30"/>
      <c r="Z305" s="9"/>
    </row>
    <row r="306">
      <c r="A306" s="30"/>
      <c r="Z306" s="9"/>
    </row>
    <row r="307">
      <c r="A307" s="30"/>
      <c r="Z307" s="9"/>
    </row>
    <row r="308">
      <c r="A308" s="30"/>
      <c r="Z308" s="9"/>
    </row>
    <row r="309">
      <c r="A309" s="30"/>
      <c r="Z309" s="9"/>
    </row>
    <row r="310">
      <c r="A310" s="30"/>
      <c r="Z310" s="9"/>
    </row>
    <row r="311">
      <c r="A311" s="30"/>
      <c r="Z311" s="9"/>
    </row>
    <row r="312">
      <c r="A312" s="30"/>
      <c r="Z312" s="9"/>
    </row>
    <row r="313">
      <c r="A313" s="30"/>
      <c r="Z313" s="9"/>
    </row>
    <row r="314">
      <c r="A314" s="30"/>
      <c r="Z314" s="9"/>
    </row>
    <row r="315">
      <c r="A315" s="30"/>
      <c r="Z315" s="9"/>
    </row>
    <row r="316">
      <c r="A316" s="30"/>
      <c r="Z316" s="9"/>
    </row>
    <row r="317">
      <c r="A317" s="30"/>
      <c r="Z317" s="9"/>
    </row>
    <row r="318">
      <c r="A318" s="30"/>
      <c r="Z318" s="9"/>
    </row>
    <row r="319">
      <c r="A319" s="30"/>
      <c r="Z319" s="9"/>
    </row>
    <row r="320">
      <c r="A320" s="30"/>
      <c r="Z320" s="9"/>
    </row>
    <row r="321">
      <c r="A321" s="30"/>
      <c r="Z321" s="9"/>
    </row>
    <row r="322">
      <c r="A322" s="30"/>
      <c r="Z322" s="9"/>
    </row>
    <row r="323">
      <c r="A323" s="30"/>
      <c r="Z323" s="9"/>
    </row>
    <row r="324">
      <c r="A324" s="30"/>
      <c r="Z324" s="9"/>
    </row>
    <row r="325">
      <c r="A325" s="30"/>
      <c r="Z325" s="9"/>
    </row>
    <row r="326">
      <c r="A326" s="30"/>
      <c r="Z326" s="9"/>
    </row>
    <row r="327">
      <c r="A327" s="30"/>
      <c r="Z327" s="9"/>
    </row>
    <row r="328">
      <c r="A328" s="30"/>
      <c r="Z328" s="9"/>
    </row>
    <row r="329">
      <c r="A329" s="30"/>
      <c r="Z329" s="9"/>
    </row>
    <row r="330">
      <c r="A330" s="30"/>
      <c r="Z330" s="9"/>
    </row>
    <row r="331">
      <c r="A331" s="30"/>
      <c r="Z331" s="9"/>
    </row>
    <row r="332">
      <c r="A332" s="30"/>
      <c r="Z332" s="9"/>
    </row>
    <row r="333">
      <c r="A333" s="30"/>
      <c r="Z333" s="9"/>
    </row>
    <row r="334">
      <c r="A334" s="30"/>
      <c r="Z334" s="9"/>
    </row>
    <row r="335">
      <c r="A335" s="30"/>
      <c r="Z335" s="9"/>
    </row>
    <row r="336">
      <c r="A336" s="30"/>
      <c r="Z336" s="9"/>
    </row>
    <row r="337">
      <c r="A337" s="30"/>
      <c r="Z337" s="9"/>
    </row>
    <row r="338">
      <c r="A338" s="30"/>
      <c r="Z338" s="9"/>
    </row>
    <row r="339">
      <c r="A339" s="30"/>
      <c r="Z339" s="9"/>
    </row>
    <row r="340">
      <c r="A340" s="30"/>
      <c r="Z340" s="9"/>
    </row>
    <row r="341">
      <c r="A341" s="30"/>
      <c r="Z341" s="9"/>
    </row>
    <row r="342">
      <c r="A342" s="30"/>
      <c r="Z342" s="9"/>
    </row>
    <row r="343">
      <c r="A343" s="30"/>
      <c r="Z343" s="9"/>
    </row>
    <row r="344">
      <c r="A344" s="30"/>
      <c r="Z344" s="9"/>
    </row>
    <row r="345">
      <c r="A345" s="30"/>
      <c r="Z345" s="9"/>
    </row>
    <row r="346">
      <c r="A346" s="30"/>
      <c r="Z346" s="9"/>
    </row>
    <row r="347">
      <c r="A347" s="30"/>
      <c r="Z347" s="9"/>
    </row>
    <row r="348">
      <c r="A348" s="30"/>
      <c r="Z348" s="9"/>
    </row>
    <row r="349">
      <c r="A349" s="30"/>
      <c r="Z349" s="9"/>
    </row>
    <row r="350">
      <c r="A350" s="30"/>
      <c r="Z350" s="9"/>
    </row>
    <row r="351">
      <c r="A351" s="30"/>
      <c r="Z351" s="9"/>
    </row>
    <row r="352">
      <c r="A352" s="30"/>
      <c r="Z352" s="9"/>
    </row>
    <row r="353">
      <c r="A353" s="30"/>
      <c r="Z353" s="9"/>
    </row>
    <row r="354">
      <c r="A354" s="30"/>
      <c r="Z354" s="9"/>
    </row>
    <row r="355">
      <c r="A355" s="30"/>
      <c r="Z355" s="9"/>
    </row>
    <row r="356">
      <c r="A356" s="30"/>
      <c r="Z356" s="9"/>
    </row>
    <row r="357">
      <c r="A357" s="30"/>
      <c r="Z357" s="9"/>
    </row>
    <row r="358">
      <c r="A358" s="30"/>
      <c r="Z358" s="9"/>
    </row>
    <row r="359">
      <c r="A359" s="30"/>
      <c r="Z359" s="9"/>
    </row>
    <row r="360">
      <c r="A360" s="30"/>
      <c r="Z360" s="9"/>
    </row>
    <row r="361">
      <c r="A361" s="30"/>
      <c r="Z361" s="9"/>
    </row>
    <row r="362">
      <c r="A362" s="30"/>
      <c r="Z362" s="9"/>
    </row>
    <row r="363">
      <c r="A363" s="30"/>
      <c r="Z363" s="9"/>
    </row>
    <row r="364">
      <c r="A364" s="30"/>
      <c r="Z364" s="9"/>
    </row>
    <row r="365">
      <c r="A365" s="30"/>
      <c r="Z365" s="9"/>
    </row>
    <row r="366">
      <c r="A366" s="30"/>
      <c r="Z366" s="9"/>
    </row>
    <row r="367">
      <c r="A367" s="30"/>
      <c r="Z367" s="9"/>
    </row>
    <row r="368">
      <c r="A368" s="30"/>
      <c r="Z368" s="9"/>
    </row>
    <row r="369">
      <c r="A369" s="30"/>
      <c r="Z369" s="9"/>
    </row>
    <row r="370">
      <c r="A370" s="30"/>
      <c r="Z370" s="9"/>
    </row>
    <row r="371">
      <c r="A371" s="30"/>
      <c r="Z371" s="9"/>
    </row>
    <row r="372">
      <c r="A372" s="30"/>
      <c r="Z372" s="9"/>
    </row>
    <row r="373">
      <c r="A373" s="30"/>
      <c r="Z373" s="9"/>
    </row>
    <row r="374">
      <c r="A374" s="30"/>
      <c r="Z374" s="9"/>
    </row>
    <row r="375">
      <c r="A375" s="30"/>
      <c r="Z375" s="9"/>
    </row>
    <row r="376">
      <c r="A376" s="30"/>
      <c r="Z376" s="9"/>
    </row>
    <row r="377">
      <c r="A377" s="30"/>
      <c r="Z377" s="9"/>
    </row>
    <row r="378">
      <c r="A378" s="30"/>
      <c r="Z378" s="9"/>
    </row>
    <row r="379">
      <c r="A379" s="30"/>
      <c r="Z379" s="9"/>
    </row>
    <row r="380">
      <c r="A380" s="30"/>
      <c r="Z380" s="9"/>
    </row>
    <row r="381">
      <c r="A381" s="30"/>
      <c r="Z381" s="9"/>
    </row>
    <row r="382">
      <c r="A382" s="30"/>
      <c r="Z382" s="9"/>
    </row>
    <row r="383">
      <c r="A383" s="30"/>
      <c r="Z383" s="9"/>
    </row>
    <row r="384">
      <c r="A384" s="30"/>
      <c r="Z384" s="9"/>
    </row>
    <row r="385">
      <c r="A385" s="30"/>
      <c r="Z385" s="9"/>
    </row>
    <row r="386">
      <c r="A386" s="30"/>
      <c r="Z386" s="9"/>
    </row>
    <row r="387">
      <c r="A387" s="30"/>
      <c r="Z387" s="9"/>
    </row>
    <row r="388">
      <c r="A388" s="30"/>
      <c r="Z388" s="9"/>
    </row>
    <row r="389">
      <c r="A389" s="30"/>
      <c r="Z389" s="9"/>
    </row>
    <row r="390">
      <c r="A390" s="30"/>
      <c r="Z390" s="9"/>
    </row>
    <row r="391">
      <c r="A391" s="30"/>
      <c r="Z391" s="9"/>
    </row>
    <row r="392">
      <c r="A392" s="30"/>
      <c r="Z392" s="9"/>
    </row>
    <row r="393">
      <c r="A393" s="30"/>
      <c r="Z393" s="9"/>
    </row>
    <row r="394">
      <c r="A394" s="30"/>
      <c r="Z394" s="9"/>
    </row>
    <row r="395">
      <c r="A395" s="30"/>
      <c r="Z395" s="9"/>
    </row>
    <row r="396">
      <c r="A396" s="30"/>
      <c r="Z396" s="9"/>
    </row>
    <row r="397">
      <c r="A397" s="30"/>
      <c r="Z397" s="9"/>
    </row>
    <row r="398">
      <c r="A398" s="30"/>
      <c r="Z398" s="9"/>
    </row>
    <row r="399">
      <c r="A399" s="30"/>
      <c r="Z399" s="9"/>
    </row>
    <row r="400">
      <c r="A400" s="30"/>
      <c r="Z400" s="9"/>
    </row>
    <row r="401">
      <c r="A401" s="30"/>
      <c r="Z401" s="9"/>
    </row>
    <row r="402">
      <c r="A402" s="30"/>
      <c r="Z402" s="9"/>
    </row>
    <row r="403">
      <c r="A403" s="30"/>
      <c r="Z403" s="9"/>
    </row>
    <row r="404">
      <c r="A404" s="30"/>
      <c r="Z404" s="9"/>
    </row>
    <row r="405">
      <c r="A405" s="30"/>
      <c r="Z405" s="9"/>
    </row>
    <row r="406">
      <c r="A406" s="30"/>
      <c r="Z406" s="9"/>
    </row>
    <row r="407">
      <c r="A407" s="30"/>
      <c r="Z407" s="9"/>
    </row>
    <row r="408">
      <c r="A408" s="30"/>
      <c r="Z408" s="9"/>
    </row>
    <row r="409">
      <c r="A409" s="30"/>
      <c r="Z409" s="9"/>
    </row>
    <row r="410">
      <c r="A410" s="30"/>
      <c r="Z410" s="9"/>
    </row>
    <row r="411">
      <c r="A411" s="30"/>
      <c r="Z411" s="9"/>
    </row>
    <row r="412">
      <c r="A412" s="30"/>
      <c r="Z412" s="9"/>
    </row>
    <row r="413">
      <c r="A413" s="30"/>
      <c r="Z413" s="9"/>
    </row>
    <row r="414">
      <c r="A414" s="30"/>
      <c r="Z414" s="9"/>
    </row>
    <row r="415">
      <c r="A415" s="30"/>
      <c r="Z415" s="9"/>
    </row>
    <row r="416">
      <c r="A416" s="30"/>
      <c r="Z416" s="9"/>
    </row>
    <row r="417">
      <c r="A417" s="30"/>
      <c r="Z417" s="9"/>
    </row>
    <row r="418">
      <c r="A418" s="30"/>
      <c r="Z418" s="9"/>
    </row>
    <row r="419">
      <c r="A419" s="30"/>
      <c r="Z419" s="9"/>
    </row>
    <row r="420">
      <c r="A420" s="30"/>
      <c r="Z420" s="9"/>
    </row>
    <row r="421">
      <c r="A421" s="30"/>
      <c r="Z421" s="9"/>
    </row>
    <row r="422">
      <c r="A422" s="30"/>
      <c r="Z422" s="9"/>
    </row>
    <row r="423">
      <c r="A423" s="30"/>
      <c r="Z423" s="9"/>
    </row>
    <row r="424">
      <c r="A424" s="30"/>
      <c r="Z424" s="9"/>
    </row>
    <row r="425">
      <c r="A425" s="30"/>
      <c r="Z425" s="9"/>
    </row>
    <row r="426">
      <c r="A426" s="30"/>
      <c r="Z426" s="9"/>
    </row>
    <row r="427">
      <c r="A427" s="30"/>
      <c r="Z427" s="9"/>
    </row>
    <row r="428">
      <c r="A428" s="30"/>
      <c r="Z428" s="9"/>
    </row>
    <row r="429">
      <c r="A429" s="30"/>
      <c r="Z429" s="9"/>
    </row>
    <row r="430">
      <c r="A430" s="30"/>
      <c r="Z430" s="9"/>
    </row>
    <row r="431">
      <c r="A431" s="30"/>
      <c r="Z431" s="9"/>
    </row>
    <row r="432">
      <c r="A432" s="30"/>
      <c r="Z432" s="9"/>
    </row>
    <row r="433">
      <c r="A433" s="30"/>
      <c r="Z433" s="9"/>
    </row>
    <row r="434">
      <c r="A434" s="30"/>
      <c r="Z434" s="9"/>
    </row>
    <row r="435">
      <c r="A435" s="30"/>
      <c r="Z435" s="9"/>
    </row>
    <row r="436">
      <c r="A436" s="30"/>
      <c r="Z436" s="9"/>
    </row>
    <row r="437">
      <c r="A437" s="30"/>
      <c r="Z437" s="9"/>
    </row>
    <row r="438">
      <c r="A438" s="30"/>
      <c r="Z438" s="9"/>
    </row>
    <row r="439">
      <c r="A439" s="30"/>
      <c r="Z439" s="9"/>
    </row>
    <row r="440">
      <c r="A440" s="30"/>
      <c r="Z440" s="9"/>
    </row>
    <row r="441">
      <c r="A441" s="30"/>
      <c r="Z441" s="9"/>
    </row>
    <row r="442">
      <c r="A442" s="30"/>
      <c r="Z442" s="9"/>
    </row>
    <row r="443">
      <c r="A443" s="30"/>
      <c r="Z443" s="9"/>
    </row>
    <row r="444">
      <c r="A444" s="30"/>
      <c r="Z444" s="9"/>
    </row>
    <row r="445">
      <c r="A445" s="30"/>
      <c r="Z445" s="9"/>
    </row>
    <row r="446">
      <c r="A446" s="30"/>
      <c r="Z446" s="9"/>
    </row>
    <row r="447">
      <c r="A447" s="30"/>
      <c r="Z447" s="9"/>
    </row>
    <row r="448">
      <c r="A448" s="30"/>
      <c r="Z448" s="9"/>
    </row>
    <row r="449">
      <c r="A449" s="30"/>
      <c r="Z449" s="9"/>
    </row>
    <row r="450">
      <c r="A450" s="30"/>
      <c r="Z450" s="9"/>
    </row>
    <row r="451">
      <c r="A451" s="30"/>
      <c r="Z451" s="9"/>
    </row>
    <row r="452">
      <c r="A452" s="30"/>
      <c r="Z452" s="9"/>
    </row>
    <row r="453">
      <c r="A453" s="30"/>
      <c r="Z453" s="9"/>
    </row>
    <row r="454">
      <c r="A454" s="30"/>
      <c r="Z454" s="9"/>
    </row>
    <row r="455">
      <c r="A455" s="30"/>
      <c r="Z455" s="9"/>
    </row>
    <row r="456">
      <c r="A456" s="30"/>
      <c r="Z456" s="9"/>
    </row>
    <row r="457">
      <c r="A457" s="30"/>
      <c r="Z457" s="9"/>
    </row>
    <row r="458">
      <c r="A458" s="30"/>
      <c r="Z458" s="9"/>
    </row>
    <row r="459">
      <c r="A459" s="30"/>
      <c r="Z459" s="9"/>
    </row>
    <row r="460">
      <c r="A460" s="30"/>
      <c r="Z460" s="9"/>
    </row>
    <row r="461">
      <c r="A461" s="30"/>
      <c r="Z461" s="9"/>
    </row>
    <row r="462">
      <c r="A462" s="30"/>
      <c r="Z462" s="9"/>
    </row>
    <row r="463">
      <c r="A463" s="30"/>
      <c r="Z463" s="9"/>
    </row>
    <row r="464">
      <c r="A464" s="30"/>
      <c r="Z464" s="9"/>
    </row>
    <row r="465">
      <c r="A465" s="30"/>
      <c r="Z465" s="9"/>
    </row>
    <row r="466">
      <c r="A466" s="30"/>
      <c r="Z466" s="9"/>
    </row>
    <row r="467">
      <c r="A467" s="30"/>
      <c r="Z467" s="9"/>
    </row>
    <row r="468">
      <c r="A468" s="30"/>
      <c r="Z468" s="9"/>
    </row>
    <row r="469">
      <c r="A469" s="30"/>
      <c r="Z469" s="9"/>
    </row>
    <row r="470">
      <c r="A470" s="30"/>
      <c r="Z470" s="9"/>
    </row>
    <row r="471">
      <c r="A471" s="30"/>
      <c r="Z471" s="9"/>
    </row>
    <row r="472">
      <c r="A472" s="30"/>
      <c r="Z472" s="9"/>
    </row>
    <row r="473">
      <c r="A473" s="30"/>
      <c r="Z473" s="9"/>
    </row>
    <row r="474">
      <c r="A474" s="30"/>
      <c r="Z474" s="9"/>
    </row>
    <row r="475">
      <c r="A475" s="30"/>
      <c r="Z475" s="9"/>
    </row>
    <row r="476">
      <c r="A476" s="30"/>
      <c r="Z476" s="9"/>
    </row>
    <row r="477">
      <c r="A477" s="30"/>
      <c r="Z477" s="9"/>
    </row>
    <row r="478">
      <c r="A478" s="30"/>
      <c r="Z478" s="9"/>
    </row>
    <row r="479">
      <c r="A479" s="30"/>
      <c r="Z479" s="9"/>
    </row>
    <row r="480">
      <c r="A480" s="30"/>
      <c r="Z480" s="9"/>
    </row>
    <row r="481">
      <c r="A481" s="30"/>
      <c r="Z481" s="9"/>
    </row>
    <row r="482">
      <c r="A482" s="30"/>
      <c r="Z482" s="9"/>
    </row>
    <row r="483">
      <c r="A483" s="30"/>
      <c r="Z483" s="9"/>
    </row>
    <row r="484">
      <c r="A484" s="30"/>
      <c r="Z484" s="9"/>
    </row>
    <row r="485">
      <c r="A485" s="30"/>
      <c r="Z485" s="9"/>
    </row>
    <row r="486">
      <c r="A486" s="30"/>
      <c r="Z486" s="9"/>
    </row>
    <row r="487">
      <c r="A487" s="30"/>
      <c r="Z487" s="9"/>
    </row>
    <row r="488">
      <c r="A488" s="30"/>
      <c r="Z488" s="9"/>
    </row>
    <row r="489">
      <c r="A489" s="30"/>
      <c r="Z489" s="9"/>
    </row>
    <row r="490">
      <c r="A490" s="30"/>
      <c r="Z490" s="9"/>
    </row>
    <row r="491">
      <c r="A491" s="30"/>
      <c r="Z491" s="9"/>
    </row>
    <row r="492">
      <c r="A492" s="30"/>
      <c r="Z492" s="9"/>
    </row>
    <row r="493">
      <c r="A493" s="30"/>
      <c r="Z493" s="9"/>
    </row>
    <row r="494">
      <c r="A494" s="30"/>
      <c r="Z494" s="9"/>
    </row>
    <row r="495">
      <c r="A495" s="30"/>
      <c r="Z495" s="9"/>
    </row>
    <row r="496">
      <c r="A496" s="30"/>
      <c r="Z496" s="9"/>
    </row>
    <row r="497">
      <c r="A497" s="30"/>
      <c r="Z497" s="9"/>
    </row>
    <row r="498">
      <c r="A498" s="30"/>
      <c r="Z498" s="9"/>
    </row>
    <row r="499">
      <c r="A499" s="30"/>
      <c r="Z499" s="9"/>
    </row>
    <row r="500">
      <c r="A500" s="30"/>
      <c r="Z500" s="9"/>
    </row>
    <row r="501">
      <c r="A501" s="30"/>
      <c r="Z501" s="9"/>
    </row>
    <row r="502">
      <c r="A502" s="30"/>
      <c r="Z502" s="9"/>
    </row>
    <row r="503">
      <c r="A503" s="30"/>
      <c r="Z503" s="9"/>
    </row>
    <row r="504">
      <c r="A504" s="30"/>
      <c r="Z504" s="9"/>
    </row>
    <row r="505">
      <c r="A505" s="30"/>
      <c r="Z505" s="9"/>
    </row>
    <row r="506">
      <c r="A506" s="30"/>
      <c r="Z506" s="9"/>
    </row>
    <row r="507">
      <c r="A507" s="30"/>
      <c r="Z507" s="9"/>
    </row>
    <row r="508">
      <c r="A508" s="30"/>
      <c r="Z508" s="9"/>
    </row>
    <row r="509">
      <c r="A509" s="30"/>
      <c r="Z509" s="9"/>
    </row>
    <row r="510">
      <c r="A510" s="30"/>
      <c r="Z510" s="9"/>
    </row>
    <row r="511">
      <c r="A511" s="30"/>
      <c r="Z511" s="9"/>
    </row>
    <row r="512">
      <c r="A512" s="30"/>
      <c r="Z512" s="9"/>
    </row>
    <row r="513">
      <c r="A513" s="30"/>
      <c r="Z513" s="9"/>
    </row>
    <row r="514">
      <c r="A514" s="30"/>
      <c r="Z514" s="9"/>
    </row>
    <row r="515">
      <c r="A515" s="30"/>
      <c r="Z515" s="9"/>
    </row>
    <row r="516">
      <c r="A516" s="30"/>
      <c r="Z516" s="9"/>
    </row>
    <row r="517">
      <c r="A517" s="30"/>
      <c r="Z517" s="9"/>
    </row>
    <row r="518">
      <c r="A518" s="30"/>
      <c r="Z518" s="9"/>
    </row>
    <row r="519">
      <c r="A519" s="30"/>
      <c r="Z519" s="9"/>
    </row>
    <row r="520">
      <c r="A520" s="30"/>
      <c r="Z520" s="9"/>
    </row>
    <row r="521">
      <c r="A521" s="30"/>
      <c r="Z521" s="9"/>
    </row>
    <row r="522">
      <c r="A522" s="30"/>
      <c r="Z522" s="9"/>
    </row>
    <row r="523">
      <c r="A523" s="30"/>
      <c r="Z523" s="9"/>
    </row>
    <row r="524">
      <c r="A524" s="30"/>
      <c r="Z524" s="9"/>
    </row>
    <row r="525">
      <c r="A525" s="30"/>
      <c r="Z525" s="9"/>
    </row>
    <row r="526">
      <c r="A526" s="30"/>
      <c r="Z526" s="9"/>
    </row>
    <row r="527">
      <c r="A527" s="30"/>
      <c r="Z527" s="9"/>
    </row>
    <row r="528">
      <c r="A528" s="30"/>
      <c r="Z528" s="9"/>
    </row>
    <row r="529">
      <c r="A529" s="30"/>
      <c r="Z529" s="9"/>
    </row>
    <row r="530">
      <c r="A530" s="30"/>
      <c r="Z530" s="9"/>
    </row>
    <row r="531">
      <c r="A531" s="30"/>
      <c r="Z531" s="9"/>
    </row>
    <row r="532">
      <c r="A532" s="30"/>
      <c r="Z532" s="9"/>
    </row>
    <row r="533">
      <c r="A533" s="30"/>
      <c r="Z533" s="9"/>
    </row>
    <row r="534">
      <c r="A534" s="30"/>
      <c r="Z534" s="9"/>
    </row>
    <row r="535">
      <c r="A535" s="30"/>
      <c r="Z535" s="9"/>
    </row>
    <row r="536">
      <c r="A536" s="30"/>
      <c r="Z536" s="9"/>
    </row>
    <row r="537">
      <c r="A537" s="30"/>
      <c r="Z537" s="9"/>
    </row>
    <row r="538">
      <c r="A538" s="30"/>
      <c r="Z538" s="9"/>
    </row>
    <row r="539">
      <c r="A539" s="30"/>
      <c r="Z539" s="9"/>
    </row>
    <row r="540">
      <c r="A540" s="30"/>
      <c r="Z540" s="9"/>
    </row>
    <row r="541">
      <c r="A541" s="30"/>
      <c r="Z541" s="9"/>
    </row>
    <row r="542">
      <c r="A542" s="30"/>
      <c r="Z542" s="9"/>
    </row>
    <row r="543">
      <c r="A543" s="30"/>
      <c r="Z543" s="9"/>
    </row>
    <row r="544">
      <c r="A544" s="30"/>
      <c r="Z544" s="9"/>
    </row>
    <row r="545">
      <c r="A545" s="30"/>
      <c r="Z545" s="9"/>
    </row>
    <row r="546">
      <c r="A546" s="30"/>
      <c r="Z546" s="9"/>
    </row>
    <row r="547">
      <c r="A547" s="30"/>
      <c r="Z547" s="9"/>
    </row>
    <row r="548">
      <c r="A548" s="30"/>
      <c r="Z548" s="9"/>
    </row>
    <row r="549">
      <c r="A549" s="30"/>
      <c r="Z549" s="9"/>
    </row>
    <row r="550">
      <c r="A550" s="30"/>
      <c r="Z550" s="9"/>
    </row>
    <row r="551">
      <c r="A551" s="30"/>
      <c r="Z551" s="9"/>
    </row>
    <row r="552">
      <c r="A552" s="30"/>
      <c r="Z552" s="9"/>
    </row>
    <row r="553">
      <c r="A553" s="30"/>
      <c r="Z553" s="9"/>
    </row>
    <row r="554">
      <c r="A554" s="30"/>
      <c r="Z554" s="9"/>
    </row>
    <row r="555">
      <c r="A555" s="30"/>
      <c r="Z555" s="9"/>
    </row>
    <row r="556">
      <c r="A556" s="30"/>
      <c r="Z556" s="9"/>
    </row>
    <row r="557">
      <c r="A557" s="30"/>
      <c r="Z557" s="9"/>
    </row>
    <row r="558">
      <c r="A558" s="30"/>
      <c r="Z558" s="9"/>
    </row>
    <row r="559">
      <c r="A559" s="30"/>
      <c r="Z559" s="9"/>
    </row>
    <row r="560">
      <c r="A560" s="30"/>
      <c r="Z560" s="9"/>
    </row>
    <row r="561">
      <c r="A561" s="30"/>
      <c r="Z561" s="9"/>
    </row>
    <row r="562">
      <c r="A562" s="30"/>
      <c r="Z562" s="9"/>
    </row>
    <row r="563">
      <c r="A563" s="30"/>
      <c r="Z563" s="9"/>
    </row>
    <row r="564">
      <c r="A564" s="30"/>
      <c r="Z564" s="9"/>
    </row>
    <row r="565">
      <c r="A565" s="30"/>
      <c r="Z565" s="9"/>
    </row>
    <row r="566">
      <c r="A566" s="30"/>
      <c r="Z566" s="9"/>
    </row>
    <row r="567">
      <c r="A567" s="30"/>
      <c r="Z567" s="9"/>
    </row>
    <row r="568">
      <c r="A568" s="30"/>
      <c r="Z568" s="9"/>
    </row>
    <row r="569">
      <c r="A569" s="30"/>
      <c r="Z569" s="9"/>
    </row>
    <row r="570">
      <c r="A570" s="30"/>
      <c r="Z570" s="9"/>
    </row>
    <row r="571">
      <c r="A571" s="30"/>
      <c r="Z571" s="9"/>
    </row>
    <row r="572">
      <c r="A572" s="30"/>
      <c r="Z572" s="9"/>
    </row>
    <row r="573">
      <c r="A573" s="30"/>
      <c r="Z573" s="9"/>
    </row>
    <row r="574">
      <c r="A574" s="30"/>
      <c r="Z574" s="9"/>
    </row>
    <row r="575">
      <c r="A575" s="30"/>
      <c r="Z575" s="9"/>
    </row>
    <row r="576">
      <c r="A576" s="30"/>
      <c r="Z576" s="9"/>
    </row>
    <row r="577">
      <c r="A577" s="30"/>
      <c r="Z577" s="9"/>
    </row>
    <row r="578">
      <c r="A578" s="30"/>
      <c r="Z578" s="9"/>
    </row>
    <row r="579">
      <c r="A579" s="30"/>
      <c r="Z579" s="9"/>
    </row>
    <row r="580">
      <c r="A580" s="30"/>
      <c r="Z580" s="9"/>
    </row>
    <row r="581">
      <c r="A581" s="30"/>
      <c r="Z581" s="9"/>
    </row>
    <row r="582">
      <c r="A582" s="30"/>
      <c r="Z582" s="9"/>
    </row>
    <row r="583">
      <c r="A583" s="30"/>
      <c r="Z583" s="9"/>
    </row>
    <row r="584">
      <c r="A584" s="30"/>
      <c r="Z584" s="9"/>
    </row>
    <row r="585">
      <c r="A585" s="30"/>
      <c r="Z585" s="9"/>
    </row>
    <row r="586">
      <c r="A586" s="30"/>
      <c r="Z586" s="9"/>
    </row>
    <row r="587">
      <c r="A587" s="30"/>
      <c r="Z587" s="9"/>
    </row>
    <row r="588">
      <c r="A588" s="30"/>
      <c r="Z588" s="9"/>
    </row>
    <row r="589">
      <c r="A589" s="30"/>
      <c r="Z589" s="9"/>
    </row>
    <row r="590">
      <c r="A590" s="30"/>
      <c r="Z590" s="9"/>
    </row>
    <row r="591">
      <c r="A591" s="30"/>
      <c r="Z591" s="9"/>
    </row>
    <row r="592">
      <c r="A592" s="30"/>
      <c r="Z592" s="9"/>
    </row>
    <row r="593">
      <c r="A593" s="30"/>
      <c r="Z593" s="9"/>
    </row>
    <row r="594">
      <c r="A594" s="30"/>
      <c r="Z594" s="9"/>
    </row>
    <row r="595">
      <c r="A595" s="30"/>
      <c r="Z595" s="9"/>
    </row>
    <row r="596">
      <c r="A596" s="30"/>
      <c r="Z596" s="9"/>
    </row>
    <row r="597">
      <c r="A597" s="30"/>
      <c r="Z597" s="9"/>
    </row>
    <row r="598">
      <c r="A598" s="30"/>
      <c r="Z598" s="9"/>
    </row>
    <row r="599">
      <c r="A599" s="30"/>
      <c r="Z599" s="9"/>
    </row>
    <row r="600">
      <c r="A600" s="30"/>
      <c r="Z600" s="9"/>
    </row>
    <row r="601">
      <c r="A601" s="30"/>
      <c r="Z601" s="9"/>
    </row>
    <row r="602">
      <c r="A602" s="30"/>
      <c r="Z602" s="9"/>
    </row>
    <row r="603">
      <c r="A603" s="30"/>
      <c r="Z603" s="9"/>
    </row>
    <row r="604">
      <c r="A604" s="30"/>
      <c r="Z604" s="9"/>
    </row>
    <row r="605">
      <c r="A605" s="30"/>
      <c r="Z605" s="9"/>
    </row>
    <row r="606">
      <c r="A606" s="30"/>
      <c r="Z606" s="9"/>
    </row>
    <row r="607">
      <c r="A607" s="30"/>
      <c r="Z607" s="9"/>
    </row>
    <row r="608">
      <c r="A608" s="30"/>
      <c r="Z608" s="9"/>
    </row>
    <row r="609">
      <c r="A609" s="30"/>
      <c r="Z609" s="9"/>
    </row>
    <row r="610">
      <c r="A610" s="30"/>
      <c r="Z610" s="9"/>
    </row>
    <row r="611">
      <c r="A611" s="30"/>
      <c r="Z611" s="9"/>
    </row>
    <row r="612">
      <c r="A612" s="30"/>
      <c r="Z612" s="9"/>
    </row>
    <row r="613">
      <c r="A613" s="30"/>
      <c r="Z613" s="9"/>
    </row>
    <row r="614">
      <c r="A614" s="30"/>
      <c r="Z614" s="9"/>
    </row>
    <row r="615">
      <c r="A615" s="30"/>
      <c r="Z615" s="9"/>
    </row>
    <row r="616">
      <c r="A616" s="30"/>
      <c r="Z616" s="9"/>
    </row>
    <row r="617">
      <c r="A617" s="30"/>
      <c r="Z617" s="9"/>
    </row>
    <row r="618">
      <c r="A618" s="30"/>
      <c r="Z618" s="9"/>
    </row>
    <row r="619">
      <c r="A619" s="30"/>
      <c r="Z619" s="9"/>
    </row>
    <row r="620">
      <c r="A620" s="30"/>
      <c r="Z620" s="9"/>
    </row>
    <row r="621">
      <c r="A621" s="30"/>
      <c r="Z621" s="9"/>
    </row>
    <row r="622">
      <c r="A622" s="30"/>
      <c r="Z622" s="9"/>
    </row>
    <row r="623">
      <c r="A623" s="30"/>
      <c r="Z623" s="9"/>
    </row>
    <row r="624">
      <c r="A624" s="30"/>
      <c r="Z624" s="9"/>
    </row>
    <row r="625">
      <c r="A625" s="30"/>
      <c r="Z625" s="9"/>
    </row>
    <row r="626">
      <c r="A626" s="30"/>
      <c r="Z626" s="9"/>
    </row>
    <row r="627">
      <c r="A627" s="30"/>
      <c r="Z627" s="9"/>
    </row>
    <row r="628">
      <c r="A628" s="30"/>
      <c r="Z628" s="9"/>
    </row>
    <row r="629">
      <c r="A629" s="30"/>
      <c r="Z629" s="9"/>
    </row>
    <row r="630">
      <c r="A630" s="30"/>
      <c r="Z630" s="9"/>
    </row>
    <row r="631">
      <c r="A631" s="30"/>
      <c r="Z631" s="9"/>
    </row>
    <row r="632">
      <c r="A632" s="30"/>
      <c r="Z632" s="9"/>
    </row>
    <row r="633">
      <c r="A633" s="30"/>
      <c r="Z633" s="9"/>
    </row>
    <row r="634">
      <c r="A634" s="30"/>
      <c r="Z634" s="9"/>
    </row>
    <row r="635">
      <c r="A635" s="30"/>
      <c r="Z635" s="9"/>
    </row>
    <row r="636">
      <c r="A636" s="30"/>
      <c r="Z636" s="9"/>
    </row>
    <row r="637">
      <c r="A637" s="30"/>
      <c r="Z637" s="9"/>
    </row>
    <row r="638">
      <c r="A638" s="30"/>
      <c r="Z638" s="9"/>
    </row>
    <row r="639">
      <c r="A639" s="30"/>
      <c r="Z639" s="9"/>
    </row>
    <row r="640">
      <c r="A640" s="30"/>
      <c r="Z640" s="9"/>
    </row>
    <row r="641">
      <c r="A641" s="30"/>
      <c r="Z641" s="9"/>
    </row>
    <row r="642">
      <c r="A642" s="30"/>
      <c r="Z642" s="9"/>
    </row>
    <row r="643">
      <c r="A643" s="30"/>
      <c r="Z643" s="9"/>
    </row>
    <row r="644">
      <c r="A644" s="30"/>
      <c r="Z644" s="9"/>
    </row>
    <row r="645">
      <c r="A645" s="30"/>
      <c r="Z645" s="9"/>
    </row>
    <row r="646">
      <c r="A646" s="30"/>
      <c r="Z646" s="9"/>
    </row>
    <row r="647">
      <c r="A647" s="30"/>
      <c r="Z647" s="9"/>
    </row>
    <row r="648">
      <c r="A648" s="30"/>
      <c r="Z648" s="9"/>
    </row>
    <row r="649">
      <c r="A649" s="30"/>
      <c r="Z649" s="9"/>
    </row>
    <row r="650">
      <c r="A650" s="30"/>
      <c r="Z650" s="9"/>
    </row>
    <row r="651">
      <c r="A651" s="30"/>
      <c r="Z651" s="9"/>
    </row>
    <row r="652">
      <c r="A652" s="30"/>
      <c r="Z652" s="9"/>
    </row>
    <row r="653">
      <c r="A653" s="30"/>
      <c r="Z653" s="9"/>
    </row>
    <row r="654">
      <c r="A654" s="30"/>
      <c r="Z654" s="9"/>
    </row>
    <row r="655">
      <c r="A655" s="30"/>
      <c r="Z655" s="9"/>
    </row>
    <row r="656">
      <c r="A656" s="30"/>
      <c r="Z656" s="9"/>
    </row>
    <row r="657">
      <c r="A657" s="30"/>
      <c r="Z657" s="9"/>
    </row>
    <row r="658">
      <c r="A658" s="30"/>
      <c r="Z658" s="9"/>
    </row>
    <row r="659">
      <c r="A659" s="30"/>
      <c r="Z659" s="9"/>
    </row>
    <row r="660">
      <c r="A660" s="30"/>
      <c r="Z660" s="9"/>
    </row>
    <row r="661">
      <c r="A661" s="30"/>
      <c r="Z661" s="9"/>
    </row>
    <row r="662">
      <c r="A662" s="30"/>
      <c r="Z662" s="9"/>
    </row>
    <row r="663">
      <c r="A663" s="30"/>
      <c r="Z663" s="9"/>
    </row>
    <row r="664">
      <c r="A664" s="30"/>
      <c r="Z664" s="9"/>
    </row>
    <row r="665">
      <c r="A665" s="30"/>
      <c r="Z665" s="9"/>
    </row>
    <row r="666">
      <c r="A666" s="30"/>
      <c r="Z666" s="9"/>
    </row>
    <row r="667">
      <c r="A667" s="30"/>
      <c r="Z667" s="9"/>
    </row>
    <row r="668">
      <c r="A668" s="30"/>
      <c r="Z668" s="9"/>
    </row>
    <row r="669">
      <c r="A669" s="30"/>
      <c r="Z669" s="9"/>
    </row>
    <row r="670">
      <c r="A670" s="30"/>
      <c r="Z670" s="9"/>
    </row>
    <row r="671">
      <c r="A671" s="30"/>
      <c r="Z671" s="9"/>
    </row>
    <row r="672">
      <c r="A672" s="30"/>
      <c r="Z672" s="9"/>
    </row>
    <row r="673">
      <c r="A673" s="30"/>
      <c r="Z673" s="9"/>
    </row>
    <row r="674">
      <c r="A674" s="30"/>
      <c r="Z674" s="9"/>
    </row>
    <row r="675">
      <c r="A675" s="30"/>
      <c r="Z675" s="9"/>
    </row>
    <row r="676">
      <c r="A676" s="30"/>
      <c r="Z676" s="9"/>
    </row>
    <row r="677">
      <c r="A677" s="30"/>
      <c r="Z677" s="9"/>
    </row>
    <row r="678">
      <c r="A678" s="30"/>
      <c r="Z678" s="9"/>
    </row>
    <row r="679">
      <c r="A679" s="30"/>
      <c r="Z679" s="9"/>
    </row>
    <row r="680">
      <c r="A680" s="30"/>
      <c r="Z680" s="9"/>
    </row>
    <row r="681">
      <c r="A681" s="30"/>
      <c r="Z681" s="9"/>
    </row>
    <row r="682">
      <c r="A682" s="30"/>
      <c r="Z682" s="9"/>
    </row>
    <row r="683">
      <c r="A683" s="30"/>
      <c r="Z683" s="9"/>
    </row>
    <row r="684">
      <c r="A684" s="30"/>
      <c r="Z684" s="9"/>
    </row>
    <row r="685">
      <c r="A685" s="30"/>
      <c r="Z685" s="9"/>
    </row>
    <row r="686">
      <c r="A686" s="30"/>
      <c r="Z686" s="9"/>
    </row>
    <row r="687">
      <c r="A687" s="30"/>
      <c r="Z687" s="9"/>
    </row>
    <row r="688">
      <c r="A688" s="30"/>
      <c r="Z688" s="9"/>
    </row>
    <row r="689">
      <c r="A689" s="30"/>
      <c r="Z689" s="9"/>
    </row>
    <row r="690">
      <c r="A690" s="30"/>
      <c r="Z690" s="9"/>
    </row>
    <row r="691">
      <c r="A691" s="30"/>
      <c r="Z691" s="9"/>
    </row>
    <row r="692">
      <c r="A692" s="30"/>
      <c r="Z692" s="9"/>
    </row>
    <row r="693">
      <c r="A693" s="30"/>
      <c r="Z693" s="9"/>
    </row>
    <row r="694">
      <c r="A694" s="30"/>
      <c r="Z694" s="9"/>
    </row>
    <row r="695">
      <c r="A695" s="30"/>
      <c r="Z695" s="9"/>
    </row>
    <row r="696">
      <c r="A696" s="30"/>
      <c r="Z696" s="9"/>
    </row>
    <row r="697">
      <c r="A697" s="30"/>
      <c r="Z697" s="9"/>
    </row>
    <row r="698">
      <c r="A698" s="30"/>
      <c r="Z698" s="9"/>
    </row>
    <row r="699">
      <c r="A699" s="30"/>
      <c r="Z699" s="9"/>
    </row>
    <row r="700">
      <c r="A700" s="30"/>
      <c r="Z700" s="9"/>
    </row>
    <row r="701">
      <c r="A701" s="30"/>
      <c r="Z701" s="9"/>
    </row>
    <row r="702">
      <c r="A702" s="30"/>
      <c r="Z702" s="9"/>
    </row>
    <row r="703">
      <c r="A703" s="30"/>
      <c r="Z703" s="9"/>
    </row>
    <row r="704">
      <c r="A704" s="30"/>
      <c r="Z704" s="9"/>
    </row>
    <row r="705">
      <c r="A705" s="30"/>
      <c r="Z705" s="9"/>
    </row>
    <row r="706">
      <c r="A706" s="30"/>
      <c r="Z706" s="9"/>
    </row>
    <row r="707">
      <c r="A707" s="30"/>
      <c r="Z707" s="9"/>
    </row>
    <row r="708">
      <c r="A708" s="30"/>
      <c r="Z708" s="9"/>
    </row>
    <row r="709">
      <c r="A709" s="30"/>
      <c r="Z709" s="9"/>
    </row>
    <row r="710">
      <c r="A710" s="30"/>
      <c r="Z710" s="9"/>
    </row>
    <row r="711">
      <c r="A711" s="30"/>
      <c r="Z711" s="9"/>
    </row>
    <row r="712">
      <c r="A712" s="30"/>
      <c r="Z712" s="9"/>
    </row>
    <row r="713">
      <c r="A713" s="30"/>
      <c r="Z713" s="9"/>
    </row>
    <row r="714">
      <c r="A714" s="30"/>
      <c r="Z714" s="9"/>
    </row>
    <row r="715">
      <c r="A715" s="30"/>
      <c r="Z715" s="9"/>
    </row>
    <row r="716">
      <c r="A716" s="30"/>
      <c r="Z716" s="9"/>
    </row>
    <row r="717">
      <c r="A717" s="30"/>
      <c r="Z717" s="9"/>
    </row>
    <row r="718">
      <c r="A718" s="30"/>
      <c r="Z718" s="9"/>
    </row>
    <row r="719">
      <c r="A719" s="30"/>
      <c r="Z719" s="9"/>
    </row>
    <row r="720">
      <c r="A720" s="30"/>
      <c r="Z720" s="9"/>
    </row>
    <row r="721">
      <c r="A721" s="30"/>
      <c r="Z721" s="9"/>
    </row>
    <row r="722">
      <c r="A722" s="30"/>
      <c r="Z722" s="9"/>
    </row>
    <row r="723">
      <c r="A723" s="30"/>
      <c r="Z723" s="9"/>
    </row>
    <row r="724">
      <c r="A724" s="30"/>
      <c r="Z724" s="9"/>
    </row>
    <row r="725">
      <c r="A725" s="30"/>
      <c r="Z725" s="9"/>
    </row>
    <row r="726">
      <c r="A726" s="30"/>
      <c r="Z726" s="9"/>
    </row>
    <row r="727">
      <c r="A727" s="30"/>
      <c r="Z727" s="9"/>
    </row>
    <row r="728">
      <c r="A728" s="30"/>
      <c r="Z728" s="9"/>
    </row>
    <row r="729">
      <c r="A729" s="30"/>
      <c r="Z729" s="9"/>
    </row>
    <row r="730">
      <c r="A730" s="30"/>
      <c r="Z730" s="9"/>
    </row>
    <row r="731">
      <c r="A731" s="30"/>
      <c r="Z731" s="9"/>
    </row>
    <row r="732">
      <c r="A732" s="30"/>
      <c r="Z732" s="9"/>
    </row>
    <row r="733">
      <c r="A733" s="30"/>
      <c r="Z733" s="9"/>
    </row>
    <row r="734">
      <c r="A734" s="30"/>
      <c r="Z734" s="9"/>
    </row>
    <row r="735">
      <c r="A735" s="30"/>
      <c r="Z735" s="9"/>
    </row>
    <row r="736">
      <c r="A736" s="30"/>
      <c r="Z736" s="9"/>
    </row>
    <row r="737">
      <c r="A737" s="30"/>
      <c r="Z737" s="9"/>
    </row>
    <row r="738">
      <c r="A738" s="30"/>
      <c r="Z738" s="9"/>
    </row>
    <row r="739">
      <c r="A739" s="30"/>
      <c r="Z739" s="9"/>
    </row>
    <row r="740">
      <c r="A740" s="30"/>
      <c r="Z740" s="9"/>
    </row>
    <row r="741">
      <c r="A741" s="30"/>
      <c r="Z741" s="9"/>
    </row>
    <row r="742">
      <c r="A742" s="30"/>
      <c r="Z742" s="9"/>
    </row>
    <row r="743">
      <c r="A743" s="30"/>
      <c r="Z743" s="9"/>
    </row>
    <row r="744">
      <c r="A744" s="30"/>
      <c r="Z744" s="9"/>
    </row>
    <row r="745">
      <c r="A745" s="30"/>
      <c r="Z745" s="9"/>
    </row>
    <row r="746">
      <c r="A746" s="30"/>
      <c r="Z746" s="9"/>
    </row>
    <row r="747">
      <c r="A747" s="30"/>
      <c r="Z747" s="9"/>
    </row>
    <row r="748">
      <c r="A748" s="30"/>
      <c r="Z748" s="9"/>
    </row>
    <row r="749">
      <c r="A749" s="30"/>
      <c r="Z749" s="9"/>
    </row>
    <row r="750">
      <c r="A750" s="30"/>
      <c r="Z750" s="9"/>
    </row>
    <row r="751">
      <c r="A751" s="30"/>
      <c r="Z751" s="9"/>
    </row>
    <row r="752">
      <c r="A752" s="30"/>
      <c r="Z752" s="9"/>
    </row>
    <row r="753">
      <c r="A753" s="30"/>
      <c r="Z753" s="9"/>
    </row>
    <row r="754">
      <c r="A754" s="30"/>
      <c r="Z754" s="9"/>
    </row>
    <row r="755">
      <c r="A755" s="30"/>
      <c r="Z755" s="9"/>
    </row>
    <row r="756">
      <c r="A756" s="30"/>
      <c r="Z756" s="9"/>
    </row>
    <row r="757">
      <c r="A757" s="30"/>
      <c r="Z757" s="9"/>
    </row>
    <row r="758">
      <c r="A758" s="30"/>
      <c r="Z758" s="9"/>
    </row>
    <row r="759">
      <c r="A759" s="30"/>
      <c r="Z759" s="9"/>
    </row>
    <row r="760">
      <c r="A760" s="30"/>
      <c r="Z760" s="9"/>
    </row>
    <row r="761">
      <c r="A761" s="30"/>
      <c r="Z761" s="9"/>
    </row>
    <row r="762">
      <c r="A762" s="30"/>
      <c r="Z762" s="9"/>
    </row>
    <row r="763">
      <c r="A763" s="30"/>
      <c r="Z763" s="9"/>
    </row>
    <row r="764">
      <c r="A764" s="30"/>
      <c r="Z764" s="9"/>
    </row>
    <row r="765">
      <c r="A765" s="30"/>
      <c r="Z765" s="9"/>
    </row>
    <row r="766">
      <c r="A766" s="30"/>
      <c r="Z766" s="9"/>
    </row>
    <row r="767">
      <c r="A767" s="30"/>
      <c r="Z767" s="9"/>
    </row>
    <row r="768">
      <c r="A768" s="30"/>
      <c r="Z768" s="9"/>
    </row>
    <row r="769">
      <c r="A769" s="30"/>
      <c r="Z769" s="9"/>
    </row>
    <row r="770">
      <c r="A770" s="30"/>
      <c r="Z770" s="9"/>
    </row>
    <row r="771">
      <c r="A771" s="30"/>
      <c r="Z771" s="9"/>
    </row>
    <row r="772">
      <c r="A772" s="30"/>
      <c r="Z772" s="9"/>
    </row>
    <row r="773">
      <c r="A773" s="30"/>
      <c r="Z773" s="9"/>
    </row>
    <row r="774">
      <c r="A774" s="30"/>
      <c r="Z774" s="9"/>
    </row>
    <row r="775">
      <c r="A775" s="30"/>
      <c r="Z775" s="9"/>
    </row>
    <row r="776">
      <c r="A776" s="30"/>
      <c r="Z776" s="9"/>
    </row>
    <row r="777">
      <c r="A777" s="30"/>
      <c r="Z777" s="9"/>
    </row>
    <row r="778">
      <c r="A778" s="30"/>
      <c r="Z778" s="9"/>
    </row>
    <row r="779">
      <c r="A779" s="30"/>
      <c r="Z779" s="9"/>
    </row>
    <row r="780">
      <c r="A780" s="30"/>
      <c r="Z780" s="9"/>
    </row>
    <row r="781">
      <c r="A781" s="30"/>
      <c r="Z781" s="9"/>
    </row>
    <row r="782">
      <c r="A782" s="30"/>
      <c r="Z782" s="9"/>
    </row>
    <row r="783">
      <c r="A783" s="30"/>
      <c r="Z783" s="9"/>
    </row>
    <row r="784">
      <c r="A784" s="30"/>
      <c r="Z784" s="9"/>
    </row>
    <row r="785">
      <c r="A785" s="30"/>
      <c r="Z785" s="9"/>
    </row>
    <row r="786">
      <c r="A786" s="30"/>
      <c r="Z786" s="9"/>
    </row>
    <row r="787">
      <c r="A787" s="30"/>
      <c r="Z787" s="9"/>
    </row>
    <row r="788">
      <c r="A788" s="30"/>
      <c r="Z788" s="9"/>
    </row>
    <row r="789">
      <c r="A789" s="30"/>
      <c r="Z789" s="9"/>
    </row>
    <row r="790">
      <c r="A790" s="30"/>
      <c r="Z790" s="9"/>
    </row>
    <row r="791">
      <c r="A791" s="30"/>
      <c r="Z791" s="9"/>
    </row>
    <row r="792">
      <c r="A792" s="30"/>
      <c r="Z792" s="9"/>
    </row>
    <row r="793">
      <c r="A793" s="30"/>
      <c r="Z793" s="9"/>
    </row>
    <row r="794">
      <c r="A794" s="30"/>
      <c r="Z794" s="9"/>
    </row>
    <row r="795">
      <c r="A795" s="30"/>
      <c r="Z795" s="9"/>
    </row>
    <row r="796">
      <c r="A796" s="30"/>
      <c r="Z796" s="9"/>
    </row>
    <row r="797">
      <c r="A797" s="30"/>
      <c r="Z797" s="9"/>
    </row>
    <row r="798">
      <c r="A798" s="30"/>
      <c r="Z798" s="9"/>
    </row>
    <row r="799">
      <c r="A799" s="30"/>
      <c r="Z799" s="9"/>
    </row>
    <row r="800">
      <c r="A800" s="30"/>
      <c r="Z800" s="9"/>
    </row>
    <row r="801">
      <c r="A801" s="30"/>
      <c r="Z801" s="9"/>
    </row>
    <row r="802">
      <c r="A802" s="30"/>
      <c r="Z802" s="9"/>
    </row>
    <row r="803">
      <c r="A803" s="30"/>
      <c r="Z803" s="9"/>
    </row>
    <row r="804">
      <c r="A804" s="30"/>
      <c r="Z804" s="9"/>
    </row>
    <row r="805">
      <c r="A805" s="30"/>
      <c r="Z805" s="9"/>
    </row>
    <row r="806">
      <c r="A806" s="30"/>
      <c r="Z806" s="9"/>
    </row>
    <row r="807">
      <c r="A807" s="30"/>
      <c r="Z807" s="9"/>
    </row>
    <row r="808">
      <c r="A808" s="30"/>
      <c r="Z808" s="9"/>
    </row>
    <row r="809">
      <c r="A809" s="30"/>
      <c r="Z809" s="9"/>
    </row>
    <row r="810">
      <c r="A810" s="30"/>
      <c r="Z810" s="9"/>
    </row>
    <row r="811">
      <c r="A811" s="30"/>
      <c r="Z811" s="9"/>
    </row>
    <row r="812">
      <c r="A812" s="30"/>
      <c r="Z812" s="9"/>
    </row>
    <row r="813">
      <c r="A813" s="30"/>
      <c r="Z813" s="9"/>
    </row>
    <row r="814">
      <c r="A814" s="30"/>
      <c r="Z814" s="9"/>
    </row>
    <row r="815">
      <c r="A815" s="30"/>
      <c r="Z815" s="9"/>
    </row>
    <row r="816">
      <c r="A816" s="30"/>
      <c r="Z816" s="9"/>
    </row>
    <row r="817">
      <c r="A817" s="30"/>
      <c r="Z817" s="9"/>
    </row>
    <row r="818">
      <c r="A818" s="30"/>
      <c r="Z818" s="9"/>
    </row>
    <row r="819">
      <c r="A819" s="30"/>
      <c r="Z819" s="9"/>
    </row>
    <row r="820">
      <c r="A820" s="30"/>
      <c r="Z820" s="9"/>
    </row>
    <row r="821">
      <c r="A821" s="30"/>
      <c r="Z821" s="9"/>
    </row>
    <row r="822">
      <c r="A822" s="30"/>
      <c r="Z822" s="9"/>
    </row>
    <row r="823">
      <c r="A823" s="30"/>
      <c r="Z823" s="9"/>
    </row>
    <row r="824">
      <c r="A824" s="30"/>
      <c r="Z824" s="9"/>
    </row>
    <row r="825">
      <c r="A825" s="30"/>
      <c r="Z825" s="9"/>
    </row>
    <row r="826">
      <c r="A826" s="30"/>
      <c r="Z826" s="9"/>
    </row>
    <row r="827">
      <c r="A827" s="30"/>
      <c r="Z827" s="9"/>
    </row>
    <row r="828">
      <c r="A828" s="30"/>
      <c r="Z828" s="9"/>
    </row>
    <row r="829">
      <c r="A829" s="30"/>
      <c r="Z829" s="9"/>
    </row>
    <row r="830">
      <c r="A830" s="30"/>
      <c r="Z830" s="9"/>
    </row>
    <row r="831">
      <c r="A831" s="30"/>
      <c r="Z831" s="9"/>
    </row>
    <row r="832">
      <c r="A832" s="30"/>
      <c r="Z832" s="9"/>
    </row>
    <row r="833">
      <c r="A833" s="30"/>
      <c r="Z833" s="9"/>
    </row>
    <row r="834">
      <c r="A834" s="30"/>
      <c r="Z834" s="9"/>
    </row>
    <row r="835">
      <c r="A835" s="30"/>
      <c r="Z835" s="9"/>
    </row>
    <row r="836">
      <c r="A836" s="30"/>
      <c r="Z836" s="9"/>
    </row>
    <row r="837">
      <c r="A837" s="30"/>
      <c r="Z837" s="9"/>
    </row>
    <row r="838">
      <c r="A838" s="30"/>
      <c r="Z838" s="9"/>
    </row>
    <row r="839">
      <c r="A839" s="30"/>
      <c r="Z839" s="9"/>
    </row>
    <row r="840">
      <c r="A840" s="30"/>
      <c r="Z840" s="9"/>
    </row>
    <row r="841">
      <c r="A841" s="30"/>
      <c r="Z841" s="9"/>
    </row>
    <row r="842">
      <c r="A842" s="30"/>
      <c r="Z842" s="9"/>
    </row>
    <row r="843">
      <c r="A843" s="30"/>
      <c r="Z843" s="9"/>
    </row>
    <row r="844">
      <c r="A844" s="30"/>
      <c r="Z844" s="9"/>
    </row>
    <row r="845">
      <c r="A845" s="30"/>
      <c r="Z845" s="9"/>
    </row>
    <row r="846">
      <c r="A846" s="30"/>
      <c r="Z846" s="9"/>
    </row>
    <row r="847">
      <c r="A847" s="30"/>
      <c r="Z847" s="9"/>
    </row>
    <row r="848">
      <c r="A848" s="30"/>
      <c r="Z848" s="9"/>
    </row>
    <row r="849">
      <c r="A849" s="30"/>
      <c r="Z849" s="9"/>
    </row>
    <row r="850">
      <c r="A850" s="30"/>
      <c r="Z850" s="9"/>
    </row>
    <row r="851">
      <c r="A851" s="30"/>
      <c r="Z851" s="9"/>
    </row>
    <row r="852">
      <c r="A852" s="30"/>
      <c r="Z852" s="9"/>
    </row>
    <row r="853">
      <c r="A853" s="30"/>
      <c r="Z853" s="9"/>
    </row>
    <row r="854">
      <c r="A854" s="30"/>
      <c r="Z854" s="9"/>
    </row>
    <row r="855">
      <c r="A855" s="30"/>
      <c r="Z855" s="9"/>
    </row>
    <row r="856">
      <c r="A856" s="30"/>
      <c r="Z856" s="9"/>
    </row>
    <row r="857">
      <c r="A857" s="30"/>
      <c r="Z857" s="9"/>
    </row>
    <row r="858">
      <c r="A858" s="30"/>
      <c r="Z858" s="9"/>
    </row>
    <row r="859">
      <c r="A859" s="30"/>
      <c r="Z859" s="9"/>
    </row>
    <row r="860">
      <c r="A860" s="30"/>
      <c r="Z860" s="9"/>
    </row>
    <row r="861">
      <c r="A861" s="30"/>
      <c r="Z861" s="9"/>
    </row>
    <row r="862">
      <c r="A862" s="30"/>
      <c r="Z862" s="9"/>
    </row>
    <row r="863">
      <c r="A863" s="30"/>
      <c r="Z863" s="9"/>
    </row>
    <row r="864">
      <c r="A864" s="30"/>
      <c r="Z864" s="9"/>
    </row>
    <row r="865">
      <c r="A865" s="30"/>
      <c r="Z865" s="9"/>
    </row>
    <row r="866">
      <c r="A866" s="30"/>
      <c r="Z866" s="9"/>
    </row>
    <row r="867">
      <c r="A867" s="30"/>
      <c r="Z867" s="9"/>
    </row>
    <row r="868">
      <c r="A868" s="30"/>
      <c r="Z868" s="9"/>
    </row>
    <row r="869">
      <c r="A869" s="30"/>
      <c r="Z869" s="9"/>
    </row>
    <row r="870">
      <c r="A870" s="30"/>
      <c r="Z870" s="9"/>
    </row>
    <row r="871">
      <c r="A871" s="30"/>
      <c r="Z871" s="9"/>
    </row>
    <row r="872">
      <c r="A872" s="30"/>
      <c r="Z872" s="9"/>
    </row>
    <row r="873">
      <c r="A873" s="30"/>
      <c r="Z873" s="9"/>
    </row>
    <row r="874">
      <c r="A874" s="30"/>
      <c r="Z874" s="9"/>
    </row>
    <row r="875">
      <c r="A875" s="30"/>
      <c r="Z875" s="9"/>
    </row>
    <row r="876">
      <c r="A876" s="30"/>
      <c r="Z876" s="9"/>
    </row>
    <row r="877">
      <c r="A877" s="30"/>
      <c r="Z877" s="9"/>
    </row>
    <row r="878">
      <c r="A878" s="30"/>
      <c r="Z878" s="9"/>
    </row>
    <row r="879">
      <c r="A879" s="30"/>
      <c r="Z879" s="9"/>
    </row>
    <row r="880">
      <c r="A880" s="30"/>
      <c r="Z880" s="9"/>
    </row>
    <row r="881">
      <c r="A881" s="30"/>
      <c r="Z881" s="9"/>
    </row>
    <row r="882">
      <c r="A882" s="30"/>
      <c r="Z882" s="9"/>
    </row>
    <row r="883">
      <c r="A883" s="30"/>
      <c r="Z883" s="9"/>
    </row>
    <row r="884">
      <c r="A884" s="30"/>
      <c r="Z884" s="9"/>
    </row>
    <row r="885">
      <c r="A885" s="30"/>
      <c r="Z885" s="9"/>
    </row>
    <row r="886">
      <c r="A886" s="30"/>
      <c r="Z886" s="9"/>
    </row>
    <row r="887">
      <c r="A887" s="30"/>
      <c r="Z887" s="9"/>
    </row>
    <row r="888">
      <c r="A888" s="30"/>
      <c r="Z888" s="9"/>
    </row>
    <row r="889">
      <c r="A889" s="30"/>
      <c r="Z889" s="9"/>
    </row>
    <row r="890">
      <c r="A890" s="30"/>
      <c r="Z890" s="9"/>
    </row>
    <row r="891">
      <c r="A891" s="30"/>
      <c r="Z891" s="9"/>
    </row>
    <row r="892">
      <c r="A892" s="30"/>
      <c r="Z892" s="9"/>
    </row>
    <row r="893">
      <c r="A893" s="30"/>
      <c r="Z893" s="9"/>
    </row>
    <row r="894">
      <c r="A894" s="30"/>
      <c r="Z894" s="9"/>
    </row>
    <row r="895">
      <c r="A895" s="30"/>
      <c r="Z895" s="9"/>
    </row>
    <row r="896">
      <c r="A896" s="30"/>
      <c r="Z896" s="9"/>
    </row>
    <row r="897">
      <c r="A897" s="30"/>
      <c r="Z897" s="9"/>
    </row>
    <row r="898">
      <c r="A898" s="30"/>
      <c r="Z898" s="9"/>
    </row>
    <row r="899">
      <c r="A899" s="30"/>
      <c r="Z899" s="9"/>
    </row>
    <row r="900">
      <c r="A900" s="30"/>
      <c r="Z900" s="9"/>
    </row>
    <row r="901">
      <c r="A901" s="30"/>
      <c r="Z901" s="9"/>
    </row>
    <row r="902">
      <c r="A902" s="30"/>
      <c r="Z902" s="9"/>
    </row>
    <row r="903">
      <c r="A903" s="30"/>
      <c r="Z903" s="9"/>
    </row>
    <row r="904">
      <c r="A904" s="30"/>
      <c r="Z904" s="9"/>
    </row>
    <row r="905">
      <c r="A905" s="30"/>
      <c r="Z905" s="9"/>
    </row>
    <row r="906">
      <c r="A906" s="30"/>
      <c r="Z906" s="9"/>
    </row>
    <row r="907">
      <c r="A907" s="30"/>
      <c r="Z907" s="9"/>
    </row>
    <row r="908">
      <c r="A908" s="30"/>
      <c r="Z908" s="9"/>
    </row>
    <row r="909">
      <c r="A909" s="30"/>
      <c r="Z909" s="9"/>
    </row>
    <row r="910">
      <c r="A910" s="30"/>
      <c r="Z910" s="9"/>
    </row>
    <row r="911">
      <c r="A911" s="30"/>
      <c r="Z911" s="9"/>
    </row>
    <row r="912">
      <c r="A912" s="30"/>
      <c r="Z912" s="9"/>
    </row>
    <row r="913">
      <c r="A913" s="30"/>
      <c r="Z913" s="9"/>
    </row>
    <row r="914">
      <c r="A914" s="30"/>
      <c r="Z914" s="9"/>
    </row>
    <row r="915">
      <c r="A915" s="30"/>
      <c r="Z915" s="9"/>
    </row>
    <row r="916">
      <c r="A916" s="30"/>
      <c r="Z916" s="9"/>
    </row>
    <row r="917">
      <c r="A917" s="30"/>
      <c r="Z917" s="9"/>
    </row>
    <row r="918">
      <c r="A918" s="30"/>
      <c r="Z918" s="9"/>
    </row>
    <row r="919">
      <c r="A919" s="30"/>
      <c r="Z919" s="9"/>
    </row>
    <row r="920">
      <c r="A920" s="30"/>
      <c r="Z920" s="9"/>
    </row>
    <row r="921">
      <c r="A921" s="30"/>
      <c r="Z921" s="9"/>
    </row>
    <row r="922">
      <c r="A922" s="30"/>
      <c r="Z922" s="9"/>
    </row>
    <row r="923">
      <c r="A923" s="30"/>
      <c r="Z923" s="9"/>
    </row>
    <row r="924">
      <c r="A924" s="30"/>
      <c r="Z924" s="9"/>
    </row>
    <row r="925">
      <c r="A925" s="30"/>
      <c r="Z925" s="9"/>
    </row>
    <row r="926">
      <c r="A926" s="30"/>
      <c r="Z926" s="9"/>
    </row>
    <row r="927">
      <c r="A927" s="30"/>
      <c r="Z927" s="9"/>
    </row>
    <row r="928">
      <c r="A928" s="30"/>
      <c r="Z928" s="9"/>
    </row>
    <row r="929">
      <c r="A929" s="30"/>
      <c r="Z929" s="9"/>
    </row>
    <row r="930">
      <c r="A930" s="30"/>
      <c r="Z930" s="9"/>
    </row>
    <row r="931">
      <c r="A931" s="30"/>
      <c r="Z931" s="9"/>
    </row>
    <row r="932">
      <c r="A932" s="30"/>
      <c r="Z932" s="9"/>
    </row>
    <row r="933">
      <c r="A933" s="30"/>
      <c r="Z933" s="9"/>
    </row>
    <row r="934">
      <c r="A934" s="30"/>
      <c r="Z934" s="9"/>
    </row>
    <row r="935">
      <c r="A935" s="30"/>
      <c r="Z935" s="9"/>
    </row>
    <row r="936">
      <c r="A936" s="30"/>
      <c r="Z936" s="9"/>
    </row>
    <row r="937">
      <c r="A937" s="30"/>
      <c r="Z937" s="9"/>
    </row>
    <row r="938">
      <c r="A938" s="30"/>
      <c r="Z938" s="9"/>
    </row>
    <row r="939">
      <c r="A939" s="30"/>
      <c r="Z939" s="9"/>
    </row>
    <row r="940">
      <c r="A940" s="30"/>
      <c r="Z940" s="9"/>
    </row>
    <row r="941">
      <c r="A941" s="30"/>
      <c r="Z941" s="9"/>
    </row>
    <row r="942">
      <c r="A942" s="30"/>
      <c r="Z942" s="9"/>
    </row>
    <row r="943">
      <c r="A943" s="30"/>
      <c r="Z943" s="9"/>
    </row>
    <row r="944">
      <c r="A944" s="30"/>
      <c r="Z944" s="9"/>
    </row>
    <row r="945">
      <c r="A945" s="30"/>
      <c r="Z945" s="9"/>
    </row>
    <row r="946">
      <c r="A946" s="30"/>
      <c r="Z946" s="9"/>
    </row>
    <row r="947">
      <c r="A947" s="30"/>
      <c r="Z947" s="9"/>
    </row>
    <row r="948">
      <c r="A948" s="30"/>
      <c r="Z948" s="9"/>
    </row>
    <row r="949">
      <c r="A949" s="30"/>
      <c r="Z949" s="9"/>
    </row>
    <row r="950">
      <c r="A950" s="30"/>
      <c r="Z950" s="9"/>
    </row>
    <row r="951">
      <c r="A951" s="30"/>
      <c r="Z951" s="9"/>
    </row>
    <row r="952">
      <c r="A952" s="30"/>
      <c r="Z952" s="9"/>
    </row>
    <row r="953">
      <c r="A953" s="30"/>
      <c r="Z953" s="9"/>
    </row>
    <row r="954">
      <c r="A954" s="30"/>
      <c r="Z954" s="9"/>
    </row>
    <row r="955">
      <c r="A955" s="30"/>
      <c r="Z955" s="9"/>
    </row>
    <row r="956">
      <c r="A956" s="30"/>
      <c r="Z956" s="9"/>
    </row>
    <row r="957">
      <c r="A957" s="30"/>
      <c r="Z957" s="9"/>
    </row>
    <row r="958">
      <c r="A958" s="30"/>
      <c r="Z958" s="9"/>
    </row>
    <row r="959">
      <c r="A959" s="30"/>
      <c r="Z959" s="9"/>
    </row>
    <row r="960">
      <c r="A960" s="30"/>
      <c r="Z960" s="9"/>
    </row>
    <row r="961">
      <c r="A961" s="30"/>
      <c r="Z961" s="9"/>
    </row>
    <row r="962">
      <c r="A962" s="30"/>
      <c r="Z962" s="9"/>
    </row>
    <row r="963">
      <c r="A963" s="30"/>
      <c r="Z963" s="9"/>
    </row>
    <row r="964">
      <c r="A964" s="30"/>
      <c r="Z964" s="9"/>
    </row>
    <row r="965">
      <c r="A965" s="30"/>
      <c r="Z965" s="9"/>
    </row>
    <row r="966">
      <c r="A966" s="30"/>
      <c r="Z966" s="9"/>
    </row>
    <row r="967">
      <c r="A967" s="30"/>
      <c r="Z967" s="9"/>
    </row>
    <row r="968">
      <c r="A968" s="30"/>
      <c r="Z968" s="9"/>
    </row>
    <row r="969">
      <c r="A969" s="30"/>
      <c r="Z969" s="9"/>
    </row>
    <row r="970">
      <c r="A970" s="30"/>
      <c r="Z970" s="9"/>
    </row>
    <row r="971">
      <c r="A971" s="30"/>
      <c r="Z971" s="9"/>
    </row>
    <row r="972">
      <c r="A972" s="30"/>
      <c r="Z972" s="9"/>
    </row>
    <row r="973">
      <c r="A973" s="30"/>
      <c r="Z973" s="9"/>
    </row>
    <row r="974">
      <c r="A974" s="30"/>
      <c r="Z974" s="9"/>
    </row>
    <row r="975">
      <c r="A975" s="30"/>
      <c r="Z975" s="9"/>
    </row>
    <row r="976">
      <c r="A976" s="30"/>
      <c r="Z976" s="9"/>
    </row>
    <row r="977">
      <c r="A977" s="30"/>
      <c r="Z977" s="9"/>
    </row>
    <row r="978">
      <c r="A978" s="30"/>
      <c r="Z978" s="9"/>
    </row>
    <row r="979">
      <c r="A979" s="30"/>
      <c r="Z979" s="9"/>
    </row>
    <row r="980">
      <c r="A980" s="30"/>
      <c r="Z980" s="9"/>
    </row>
    <row r="981">
      <c r="A981" s="30"/>
      <c r="Z981" s="9"/>
    </row>
    <row r="982">
      <c r="A982" s="30"/>
      <c r="Z982" s="9"/>
    </row>
    <row r="983">
      <c r="A983" s="30"/>
      <c r="Z983" s="9"/>
    </row>
    <row r="984">
      <c r="A984" s="30"/>
      <c r="Z984" s="9"/>
    </row>
    <row r="985">
      <c r="A985" s="30"/>
      <c r="Z985" s="9"/>
    </row>
    <row r="986">
      <c r="A986" s="30"/>
      <c r="Z986" s="9"/>
    </row>
    <row r="987">
      <c r="A987" s="30"/>
      <c r="Z987" s="9"/>
    </row>
    <row r="988">
      <c r="A988" s="30"/>
      <c r="Z988" s="9"/>
    </row>
    <row r="989">
      <c r="A989" s="30"/>
      <c r="Z989" s="9"/>
    </row>
    <row r="990">
      <c r="A990" s="30"/>
      <c r="Z990" s="9"/>
    </row>
    <row r="991">
      <c r="A991" s="30"/>
      <c r="Z991" s="9"/>
    </row>
    <row r="992">
      <c r="A992" s="30"/>
      <c r="Z992" s="9"/>
    </row>
    <row r="993">
      <c r="A993" s="30"/>
      <c r="Z993" s="9"/>
    </row>
    <row r="994">
      <c r="A994" s="30"/>
      <c r="Z994" s="9"/>
    </row>
    <row r="995">
      <c r="A995" s="30"/>
      <c r="Z995" s="9"/>
    </row>
    <row r="996">
      <c r="A996" s="30"/>
      <c r="Z996" s="9"/>
    </row>
    <row r="997">
      <c r="A997" s="30"/>
      <c r="Z997" s="9"/>
    </row>
    <row r="998">
      <c r="A998" s="30"/>
      <c r="Z998" s="9"/>
    </row>
    <row r="999">
      <c r="A999" s="30"/>
      <c r="Z999" s="9"/>
    </row>
    <row r="1000">
      <c r="A1000" s="30"/>
      <c r="Z1000" s="9"/>
    </row>
    <row r="1001">
      <c r="A1001" s="30"/>
    </row>
  </sheetData>
  <dataValidations>
    <dataValidation type="list" allowBlank="1" showErrorMessage="1" sqref="Y2:Y37">
      <formula1>"Sell,Rent"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23.5"/>
    <col customWidth="1" min="5" max="5" width="18.5"/>
    <col customWidth="1" min="6" max="6" width="20.5"/>
    <col customWidth="1" min="7" max="7" width="37.63"/>
  </cols>
  <sheetData>
    <row r="1" ht="225.0" customHeight="1">
      <c r="A1" s="31" t="s">
        <v>166</v>
      </c>
    </row>
    <row r="3" ht="22.5" customHeight="1">
      <c r="A3" s="32" t="s">
        <v>167</v>
      </c>
      <c r="B3" s="32" t="s">
        <v>8</v>
      </c>
    </row>
    <row r="4" ht="22.5" customHeight="1">
      <c r="A4" s="33">
        <v>45809.0</v>
      </c>
      <c r="B4" s="34">
        <v>4500.0</v>
      </c>
      <c r="D4" s="32" t="s">
        <v>168</v>
      </c>
      <c r="E4" s="32" t="s">
        <v>169</v>
      </c>
      <c r="F4" s="32" t="s">
        <v>116</v>
      </c>
      <c r="G4" s="35" t="s">
        <v>170</v>
      </c>
    </row>
    <row r="5" ht="22.5" customHeight="1">
      <c r="A5" s="33">
        <v>45839.0</v>
      </c>
      <c r="B5" s="34">
        <v>6000.0</v>
      </c>
      <c r="D5" s="36" t="s">
        <v>41</v>
      </c>
      <c r="E5" s="34">
        <v>9.0</v>
      </c>
      <c r="F5" s="34">
        <v>23510.0</v>
      </c>
      <c r="G5" s="37" t="s">
        <v>171</v>
      </c>
    </row>
    <row r="6" ht="22.5" customHeight="1">
      <c r="A6" s="33">
        <v>45870.0</v>
      </c>
      <c r="B6" s="34">
        <v>6755.0</v>
      </c>
      <c r="D6" s="36" t="s">
        <v>172</v>
      </c>
      <c r="E6" s="34">
        <v>8.0</v>
      </c>
      <c r="F6" s="34">
        <v>15950.0</v>
      </c>
      <c r="G6" s="37" t="s">
        <v>173</v>
      </c>
    </row>
    <row r="7" ht="22.5" customHeight="1">
      <c r="A7" s="33">
        <v>45901.0</v>
      </c>
      <c r="B7" s="34">
        <v>18760.0</v>
      </c>
      <c r="D7" s="36" t="s">
        <v>38</v>
      </c>
      <c r="E7" s="34">
        <v>10.0</v>
      </c>
      <c r="F7" s="34">
        <v>12150.0</v>
      </c>
      <c r="G7" s="37" t="s">
        <v>174</v>
      </c>
    </row>
    <row r="8" ht="22.5" customHeight="1">
      <c r="A8" s="33">
        <v>45931.0</v>
      </c>
      <c r="B8" s="34">
        <v>27250.0</v>
      </c>
      <c r="D8" s="36" t="s">
        <v>175</v>
      </c>
      <c r="E8" s="34">
        <v>3.0</v>
      </c>
      <c r="F8" s="34">
        <v>4800.0</v>
      </c>
      <c r="G8" s="37" t="s">
        <v>176</v>
      </c>
    </row>
  </sheetData>
  <mergeCells count="1">
    <mergeCell ref="A1:E1"/>
  </mergeCells>
  <dataValidations>
    <dataValidation type="custom" allowBlank="1" showDropDown="1" sqref="A4:A8">
      <formula1>OR(NOT(ISERROR(DATEVALUE(A4))), AND(ISNUMBER(A4), LEFT(CELL("format", A4))="D"))</formula1>
    </dataValidation>
    <dataValidation type="custom" allowBlank="1" showDropDown="1" sqref="E5:F8 B4:B8">
      <formula1>AND(ISNUMBER(B4),(NOT(OR(NOT(ISERROR(DATEVALUE(B4))), AND(ISNUMBER(B4), LEFT(CELL("format", B4))="D")))))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9.5"/>
    <col customWidth="1" min="3" max="3" width="23.5"/>
    <col customWidth="1" min="4" max="4" width="37.63"/>
    <col customWidth="1" min="5" max="5" width="31.5"/>
    <col customWidth="1" min="6" max="6" width="29.5"/>
    <col customWidth="1" min="7" max="7" width="37.63"/>
  </cols>
  <sheetData>
    <row r="1" ht="22.5" customHeight="1">
      <c r="A1" s="32" t="s">
        <v>5</v>
      </c>
      <c r="B1" s="32" t="s">
        <v>177</v>
      </c>
      <c r="C1" s="32" t="s">
        <v>178</v>
      </c>
      <c r="D1" s="35" t="s">
        <v>179</v>
      </c>
    </row>
    <row r="2" ht="22.5" customHeight="1">
      <c r="A2" s="36" t="s">
        <v>17</v>
      </c>
      <c r="B2" s="34">
        <v>31.0</v>
      </c>
      <c r="C2" s="34">
        <v>1866.61</v>
      </c>
      <c r="D2" s="37" t="s">
        <v>180</v>
      </c>
    </row>
    <row r="3" ht="22.5" customHeight="1">
      <c r="A3" s="36" t="s">
        <v>34</v>
      </c>
      <c r="B3" s="34">
        <v>4.0</v>
      </c>
      <c r="C3" s="34">
        <v>1350.0</v>
      </c>
      <c r="D3" s="37" t="s">
        <v>181</v>
      </c>
    </row>
    <row r="4" ht="22.5" customHeight="1">
      <c r="D4" s="32" t="s">
        <v>182</v>
      </c>
      <c r="E4" s="32" t="s">
        <v>183</v>
      </c>
      <c r="F4" s="32" t="s">
        <v>184</v>
      </c>
      <c r="G4" s="35" t="s">
        <v>185</v>
      </c>
    </row>
    <row r="5" ht="22.5" customHeight="1">
      <c r="D5" s="36" t="s">
        <v>172</v>
      </c>
      <c r="E5" s="34">
        <v>6.1</v>
      </c>
      <c r="F5" s="38" t="s">
        <v>186</v>
      </c>
      <c r="G5" s="37" t="s">
        <v>187</v>
      </c>
    </row>
    <row r="6" ht="22.5" customHeight="1">
      <c r="D6" s="36" t="s">
        <v>38</v>
      </c>
      <c r="E6" s="34">
        <v>5.2</v>
      </c>
      <c r="F6" s="38" t="s">
        <v>188</v>
      </c>
      <c r="G6" s="37" t="s">
        <v>189</v>
      </c>
    </row>
    <row r="7" ht="22.5" customHeight="1">
      <c r="D7" s="36" t="s">
        <v>175</v>
      </c>
      <c r="E7" s="34">
        <v>1.0</v>
      </c>
      <c r="F7" s="38" t="s">
        <v>190</v>
      </c>
      <c r="G7" s="37" t="s">
        <v>191</v>
      </c>
    </row>
  </sheetData>
  <dataValidations>
    <dataValidation type="custom" allowBlank="1" showDropDown="1" sqref="B2:C3 E5:E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25.13"/>
    <col customWidth="1" min="3" max="3" width="24.38"/>
  </cols>
  <sheetData>
    <row r="1">
      <c r="A1" s="1" t="s">
        <v>192</v>
      </c>
      <c r="B1" s="1" t="s">
        <v>193</v>
      </c>
      <c r="C1" s="1" t="s">
        <v>194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9">
        <v>45809.0</v>
      </c>
      <c r="B2" s="4">
        <v>4500.0</v>
      </c>
      <c r="C2" s="4" t="s">
        <v>195</v>
      </c>
    </row>
    <row r="3">
      <c r="A3" s="39">
        <v>45839.0</v>
      </c>
      <c r="B3" s="4">
        <v>6000.0</v>
      </c>
      <c r="C3" s="4" t="s">
        <v>196</v>
      </c>
    </row>
    <row r="4">
      <c r="A4" s="39">
        <v>45870.0</v>
      </c>
      <c r="B4" s="4">
        <v>6755.0</v>
      </c>
      <c r="C4" s="4" t="s">
        <v>197</v>
      </c>
    </row>
    <row r="5">
      <c r="A5" s="39">
        <v>45901.0</v>
      </c>
      <c r="B5" s="4">
        <v>18760.0</v>
      </c>
      <c r="C5" s="4" t="s">
        <v>198</v>
      </c>
    </row>
    <row r="6">
      <c r="A6" s="40">
        <v>45931.0</v>
      </c>
      <c r="B6" s="4">
        <v>27250.0</v>
      </c>
      <c r="C6" s="4" t="s">
        <v>199</v>
      </c>
    </row>
    <row r="7">
      <c r="A7" s="9"/>
      <c r="B7" s="9"/>
      <c r="C7" s="9"/>
    </row>
    <row r="8">
      <c r="A8" s="41" t="s">
        <v>200</v>
      </c>
    </row>
  </sheetData>
  <drawing r:id="rId1"/>
</worksheet>
</file>